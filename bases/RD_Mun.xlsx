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IGPE\NCD\Projetos\IDM\bases\"/>
    </mc:Choice>
  </mc:AlternateContent>
  <xr:revisionPtr revIDLastSave="0" documentId="13_ncr:1_{AB7A1581-13E9-415C-953A-98C069D1D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externalReferences>
    <externalReference r:id="rId2"/>
  </externalReferences>
  <definedNames>
    <definedName name="_xlnm._FilterDatabase" localSheetId="0" hidden="1">BASE!$A$1:$L$186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1" i="1" l="1"/>
  <c r="N182" i="1"/>
  <c r="N183" i="1"/>
  <c r="N184" i="1"/>
  <c r="N185" i="1"/>
  <c r="N18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2" i="1"/>
</calcChain>
</file>

<file path=xl/sharedStrings.xml><?xml version="1.0" encoding="utf-8"?>
<sst xmlns="http://schemas.openxmlformats.org/spreadsheetml/2006/main" count="1677" uniqueCount="662">
  <si>
    <t>Metropolitana</t>
  </si>
  <si>
    <t>Sertão Pernambucano</t>
  </si>
  <si>
    <t>Vale São Francisco/Araripe</t>
  </si>
  <si>
    <t>SERTÃO DO SÃO FRANCISCO</t>
  </si>
  <si>
    <t>Agreste</t>
  </si>
  <si>
    <t>AGRESTE CENTRAL</t>
  </si>
  <si>
    <t>MATA SUL</t>
  </si>
  <si>
    <t>AGRESTE MERIDIONAL</t>
  </si>
  <si>
    <t>MATA NORTE</t>
  </si>
  <si>
    <t>RMR</t>
  </si>
  <si>
    <t>SERTÃO DE ITAPARICA</t>
  </si>
  <si>
    <t>SERTÃO DO MOXOTÓ</t>
  </si>
  <si>
    <t>SERTÃO DO ARARIPE</t>
  </si>
  <si>
    <t>SERTÃO DO PAJEÚ</t>
  </si>
  <si>
    <t>AGRESTE SETENTRIONAL</t>
  </si>
  <si>
    <t>SERTÃO CENTRAL</t>
  </si>
  <si>
    <t>ABREU E LIMA</t>
  </si>
  <si>
    <t>AFOGADOS DA INGAZEIRA</t>
  </si>
  <si>
    <t>AGRESTINA</t>
  </si>
  <si>
    <t>ALAGOINHA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</si>
  <si>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</si>
  <si>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</si>
  <si>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</si>
  <si>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</si>
  <si>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</si>
  <si>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</si>
  <si>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</si>
  <si>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BELO JARDIM</t>
  </si>
  <si>
    <t>BEZERROS</t>
  </si>
  <si>
    <t>BOM CONSELHO</t>
  </si>
  <si>
    <t>BOM JARDIM</t>
  </si>
  <si>
    <t>BONITO</t>
  </si>
  <si>
    <t>BREJINHO</t>
  </si>
  <si>
    <t>BREJO DA MADRE DE DEUS</t>
  </si>
  <si>
    <t>BUENOS AIRES</t>
  </si>
  <si>
    <t>CABO DE SANTO AGOSTINHO</t>
  </si>
  <si>
    <t>CACHOEIRINHA</t>
  </si>
  <si>
    <t>CALUMBI</t>
  </si>
  <si>
    <t>CAMARAGIBE</t>
  </si>
  <si>
    <t>CAMUTANGA</t>
  </si>
  <si>
    <t>CANHOTINHO</t>
  </si>
  <si>
    <t>CAPOEIRAS</t>
  </si>
  <si>
    <t>CARNAUBEIRA DA PENHA</t>
  </si>
  <si>
    <t>CARPINA</t>
  </si>
  <si>
    <t>CARUARU</t>
  </si>
  <si>
    <t>CASINHAS</t>
  </si>
  <si>
    <t>CATENDE</t>
  </si>
  <si>
    <t>CEDRO</t>
  </si>
  <si>
    <t>CONDADO</t>
  </si>
  <si>
    <t>CORRENTES</t>
  </si>
  <si>
    <t>CUMARU</t>
  </si>
  <si>
    <t>CUPIRA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</si>
  <si>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</si>
  <si>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</si>
  <si>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</si>
  <si>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</si>
  <si>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</si>
  <si>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</si>
  <si>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</si>
  <si>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</si>
  <si>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</si>
  <si>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</si>
  <si>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</si>
  <si>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GOIANA</t>
  </si>
  <si>
    <t>GRANITO</t>
  </si>
  <si>
    <t>IATI</t>
  </si>
  <si>
    <t>IBIMIRIM</t>
  </si>
  <si>
    <t>IBIRAJUBA</t>
  </si>
  <si>
    <t>IGARASSU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</si>
  <si>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</si>
  <si>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</si>
  <si>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</si>
  <si>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</si>
  <si>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</si>
  <si>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</si>
  <si>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</si>
  <si>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</si>
  <si>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JAQUEIRA</t>
  </si>
  <si>
    <t>JOAQUIM NABUCO</t>
  </si>
  <si>
    <t>JUCATI</t>
  </si>
  <si>
    <t>JUPI</t>
  </si>
  <si>
    <t>JUREMA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</si>
  <si>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</si>
  <si>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</si>
  <si>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</si>
  <si>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</si>
  <si>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</si>
  <si>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</si>
  <si>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</si>
  <si>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</si>
  <si>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</si>
  <si>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</si>
  <si>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</si>
  <si>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</si>
  <si>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OLINDA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</si>
  <si>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</si>
  <si>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</si>
  <si>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</si>
  <si>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</si>
  <si>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</si>
  <si>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</si>
  <si>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</si>
  <si>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</si>
  <si>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</si>
  <si>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</si>
  <si>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</si>
  <si>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PETROLINA</t>
  </si>
  <si>
    <t>POMBOS</t>
  </si>
  <si>
    <t>PRIMAVERA</t>
  </si>
  <si>
    <t>QUIXABA</t>
  </si>
  <si>
    <t>RECIFE</t>
  </si>
  <si>
    <t>RIACHO DAS ALMAS</t>
  </si>
  <si>
    <t>RIO FORMOSO</t>
  </si>
  <si>
    <t>SALGADINHO</t>
  </si>
  <si>
    <t>SALGUEIRO</t>
  </si>
  <si>
    <t>SANTA CRUZ</t>
  </si>
  <si>
    <t>SANTA CRUZ DA BAIXA VERDE</t>
  </si>
  <si>
    <t>SANTA CRUZ DO CAPIBARIBE</t>
  </si>
  <si>
    <t>SANTA FILOMENA</t>
  </si>
  <si>
    <t>SANTA MARIA DA BOA VISTA</t>
  </si>
  <si>
    <t>SANTA TEREZINHA</t>
  </si>
  <si>
    <t>SERRA TALHADA</t>
  </si>
  <si>
    <t>SERRITA</t>
  </si>
  <si>
    <t>SURUBIM</t>
  </si>
  <si>
    <t>TABIRA</t>
  </si>
  <si>
    <t>TACARATU</t>
  </si>
  <si>
    <t>TAQUARITINGA DO NORTE</t>
  </si>
  <si>
    <t>TEREZINHA</t>
  </si>
  <si>
    <t>TERRA NOVA</t>
  </si>
  <si>
    <t>TORITAMA</t>
  </si>
  <si>
    <t>TRINDADE</t>
  </si>
  <si>
    <t>TRIUNFO</t>
  </si>
  <si>
    <t>TUPANATINGA</t>
  </si>
  <si>
    <t>TUPARETAMA</t>
  </si>
  <si>
    <t>VENTUROSA</t>
  </si>
  <si>
    <t>VERDEJANTE</t>
  </si>
  <si>
    <t>VERTENTES</t>
  </si>
  <si>
    <t>AFRÂNIO</t>
  </si>
  <si>
    <t>ÁGUA PRETA</t>
  </si>
  <si>
    <t>ÁGUAS BELAS</t>
  </si>
  <si>
    <t>ALIANÇA</t>
  </si>
  <si>
    <t>ARAÇOIABA</t>
  </si>
  <si>
    <t>BELÉM DE MARIA</t>
  </si>
  <si>
    <t>BELÉM DE SÃO FRANCISCO</t>
  </si>
  <si>
    <t>BETÂNIA</t>
  </si>
  <si>
    <t>BODOCÓ</t>
  </si>
  <si>
    <t>BREJÃO</t>
  </si>
  <si>
    <t>BUÍQUE</t>
  </si>
  <si>
    <t>CABROBÓ</t>
  </si>
  <si>
    <t>CAETÉS</t>
  </si>
  <si>
    <t>CALÇADO</t>
  </si>
  <si>
    <t>CAMOCIM DE SÃO FÉLIX</t>
  </si>
  <si>
    <t>CARNAÍBA</t>
  </si>
  <si>
    <t>CHÃ DE ALEGRIA</t>
  </si>
  <si>
    <t>CHÃ GRANDE</t>
  </si>
  <si>
    <t>CORTÊS</t>
  </si>
  <si>
    <t>CUSTÓDIA</t>
  </si>
  <si>
    <t>GLÓRIA DO GOITÁ</t>
  </si>
  <si>
    <t>GRAVATÁ</t>
  </si>
  <si>
    <t>IGUARACY</t>
  </si>
  <si>
    <t>ILHA DE ITAMARACÁ</t>
  </si>
  <si>
    <t>INAJÁ</t>
  </si>
  <si>
    <t>ITAMBÉ</t>
  </si>
  <si>
    <t>JABOATÃO DOS GUARARAPES</t>
  </si>
  <si>
    <t>JATAÚBA</t>
  </si>
  <si>
    <t>JATOBÁ</t>
  </si>
  <si>
    <t>JOÃO ALFREDO</t>
  </si>
  <si>
    <t>LAGOA DE ITAENGA</t>
  </si>
  <si>
    <t>MOREILÂNDIA</t>
  </si>
  <si>
    <t>NAZARÉ DA MATA</t>
  </si>
  <si>
    <t>OROBÓ</t>
  </si>
  <si>
    <t>OROCÓ</t>
  </si>
  <si>
    <t>PETROLÂNDIA</t>
  </si>
  <si>
    <t>POÇÃO</t>
  </si>
  <si>
    <t>QUIPAPÁ</t>
  </si>
  <si>
    <t>RIBEIRÃO</t>
  </si>
  <si>
    <t>SAIRÉ</t>
  </si>
  <si>
    <t>SALOÁ</t>
  </si>
  <si>
    <t>SANHARÓ</t>
  </si>
  <si>
    <t>SANTA MARIA DO CAMBUCÁ</t>
  </si>
  <si>
    <t>SÃO BENEDITO DO SUL</t>
  </si>
  <si>
    <t>SÃO BENTO DO UNA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</si>
  <si>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</si>
  <si>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</si>
  <si>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</si>
  <si>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</si>
  <si>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</si>
  <si>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</si>
  <si>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FERRER</t>
  </si>
  <si>
    <t>SERTÂNIA</t>
  </si>
  <si>
    <t>SIRINHAÉM</t>
  </si>
  <si>
    <t>SOLIDÃO</t>
  </si>
  <si>
    <t>TACAIMBÓ</t>
  </si>
  <si>
    <t>TAMANDARÉ</t>
  </si>
  <si>
    <t>TIMBAÚBA</t>
  </si>
  <si>
    <t>TRACUNHAÉM</t>
  </si>
  <si>
    <t>VERTENTE DO LÉRIO</t>
  </si>
  <si>
    <t>VICÊNCIA</t>
  </si>
  <si>
    <t>VITÓRIA DE SANTO ANTÃO</t>
  </si>
  <si>
    <t>XEXÉU</t>
  </si>
  <si>
    <t>SÃO CAITANO</t>
  </si>
  <si>
    <t>Abreu e Lima</t>
  </si>
  <si>
    <t>Afogados da Ingazeira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</si>
  <si>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</si>
  <si>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</si>
  <si>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</si>
  <si>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</si>
  <si>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</si>
  <si>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</si>
  <si>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</si>
  <si>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</si>
  <si>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</si>
  <si>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</si>
  <si>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</si>
  <si>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</si>
  <si>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</si>
  <si>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</si>
  <si>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</si>
  <si>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Belo Jardim</t>
  </si>
  <si>
    <t>Betânia</t>
  </si>
  <si>
    <t>Bezerros</t>
  </si>
  <si>
    <t>Bodocó</t>
  </si>
  <si>
    <t>Bom Conselho</t>
  </si>
  <si>
    <t>Bom Jardim</t>
  </si>
  <si>
    <t>Bonito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</si>
  <si>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</si>
  <si>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</si>
  <si>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</si>
  <si>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</si>
  <si>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</si>
  <si>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</si>
  <si>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</si>
  <si>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</si>
  <si>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</si>
  <si>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</si>
  <si>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</si>
  <si>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</si>
  <si>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</si>
  <si>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</si>
  <si>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</si>
  <si>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</si>
  <si>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</si>
  <si>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</si>
  <si>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</si>
  <si>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</si>
  <si>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</si>
  <si>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</si>
  <si>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</si>
  <si>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</si>
  <si>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</si>
  <si>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</si>
  <si>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</si>
  <si>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</si>
  <si>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</si>
  <si>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</si>
  <si>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</si>
  <si>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</si>
  <si>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</si>
  <si>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</si>
  <si>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</si>
  <si>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</si>
  <si>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</si>
  <si>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</si>
  <si>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</si>
  <si>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</si>
  <si>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</si>
  <si>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</si>
  <si>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</si>
  <si>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</si>
  <si>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</si>
  <si>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</si>
  <si>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</si>
  <si>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</si>
  <si>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</si>
  <si>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</si>
  <si>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</si>
  <si>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</si>
  <si>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</si>
  <si>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</si>
  <si>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</si>
  <si>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</si>
  <si>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</si>
  <si>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</si>
  <si>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</si>
  <si>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</si>
  <si>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</si>
  <si>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</si>
  <si>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</si>
  <si>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</si>
  <si>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</si>
  <si>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</si>
  <si>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</si>
  <si>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</si>
  <si>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</si>
  <si>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</si>
  <si>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</si>
  <si>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</si>
  <si>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</si>
  <si>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</si>
  <si>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</si>
  <si>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</si>
  <si>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</si>
  <si>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</si>
  <si>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</si>
  <si>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</si>
  <si>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</si>
  <si>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</si>
  <si>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</si>
  <si>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</si>
  <si>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</si>
  <si>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</si>
  <si>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</si>
  <si>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</si>
  <si>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</si>
  <si>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</si>
  <si>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</si>
  <si>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</si>
  <si>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</si>
  <si>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</si>
  <si>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</si>
  <si>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</si>
  <si>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</si>
  <si>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</si>
  <si>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</si>
  <si>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</si>
  <si>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</si>
  <si>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</si>
  <si>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</si>
  <si>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</si>
  <si>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</si>
  <si>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</si>
  <si>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</si>
  <si>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</si>
  <si>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</si>
  <si>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</si>
  <si>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</si>
  <si>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</si>
  <si>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</si>
  <si>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</si>
  <si>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</si>
  <si>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</si>
  <si>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</si>
  <si>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</si>
  <si>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</si>
  <si>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</si>
  <si>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</si>
  <si>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</si>
  <si>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</si>
  <si>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</si>
  <si>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</si>
  <si>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</si>
  <si>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</si>
  <si>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</si>
  <si>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</si>
  <si>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</si>
  <si>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</si>
  <si>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</si>
  <si>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</si>
  <si>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</si>
  <si>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</si>
  <si>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</si>
  <si>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</si>
  <si>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</si>
  <si>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</si>
  <si>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</si>
  <si>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</si>
  <si>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</si>
  <si>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</si>
  <si>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</si>
  <si>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</si>
  <si>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</si>
  <si>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</si>
  <si>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</si>
  <si>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</si>
  <si>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</si>
  <si>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</si>
  <si>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</si>
  <si>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</si>
  <si>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</si>
  <si>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</si>
  <si>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</si>
  <si>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</si>
  <si>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</si>
  <si>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</si>
  <si>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</si>
  <si>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Belém de São Francisco</t>
  </si>
  <si>
    <t>nm_mun_min</t>
  </si>
  <si>
    <t>nm_mun_mai</t>
  </si>
  <si>
    <t>macro</t>
  </si>
  <si>
    <t>AFRANIO</t>
  </si>
  <si>
    <t>AGUA PRETA</t>
  </si>
  <si>
    <t>AGUAS BELAS</t>
  </si>
  <si>
    <t>ALIANCA</t>
  </si>
  <si>
    <t>ARACOIABA</t>
  </si>
  <si>
    <t>BELEM DE MARIA</t>
  </si>
  <si>
    <t>BELEM DE SAO FRANCISCO</t>
  </si>
  <si>
    <t>BETANIA</t>
  </si>
  <si>
    <t>BODOCO</t>
  </si>
  <si>
    <t>BREJAO</t>
  </si>
  <si>
    <t>BUIQUE</t>
  </si>
  <si>
    <t>CABROBO</t>
  </si>
  <si>
    <t>CAETES</t>
  </si>
  <si>
    <t>CALCADO</t>
  </si>
  <si>
    <t>CAMOCIM DE SAO FELIX</t>
  </si>
  <si>
    <t>CARNAIBA</t>
  </si>
  <si>
    <t>CHA DE ALEGRIA</t>
  </si>
  <si>
    <t>CHA GRANDE</t>
  </si>
  <si>
    <t>CORTES</t>
  </si>
  <si>
    <t>CUSTODIA</t>
  </si>
  <si>
    <t>GLORIA DO GOITA</t>
  </si>
  <si>
    <t>GRAVATA</t>
  </si>
  <si>
    <t>ILHA DE ITAMARACA</t>
  </si>
  <si>
    <t>INAJA</t>
  </si>
  <si>
    <t>ITAMBE</t>
  </si>
  <si>
    <t>JABOATAO DOS GUARARAPES</t>
  </si>
  <si>
    <t>JATAUBA</t>
  </si>
  <si>
    <t>JATOBA</t>
  </si>
  <si>
    <t>JOAO ALFREDO</t>
  </si>
  <si>
    <t>MOREILANDIA</t>
  </si>
  <si>
    <t>NAZARE DA MATA</t>
  </si>
  <si>
    <t>OROBO</t>
  </si>
  <si>
    <t>OROCO</t>
  </si>
  <si>
    <t>PETROLANDIA</t>
  </si>
  <si>
    <t>POCAO</t>
  </si>
  <si>
    <t>QUIPAPA</t>
  </si>
  <si>
    <t>RIBEIRAO</t>
  </si>
  <si>
    <t>SAIRE</t>
  </si>
  <si>
    <t>SALOA</t>
  </si>
  <si>
    <t>SANHARO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</si>
  <si>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</si>
  <si>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</si>
  <si>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</si>
  <si>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</si>
  <si>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</si>
  <si>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</si>
  <si>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</si>
  <si>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</si>
  <si>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</si>
  <si>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</si>
  <si>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</si>
  <si>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SERTANIA</t>
  </si>
  <si>
    <t>SIRINHAEM</t>
  </si>
  <si>
    <t>SOLIDAO</t>
  </si>
  <si>
    <t>TACAIMBO</t>
  </si>
  <si>
    <t>TAMANDARE</t>
  </si>
  <si>
    <t>TIMBAUBA</t>
  </si>
  <si>
    <t>TRACUNHAEM</t>
  </si>
  <si>
    <t>VERTENTE DO LERIO</t>
  </si>
  <si>
    <t>VICENCIA</t>
  </si>
  <si>
    <t>VITORIA DE SANTO ANTAO</t>
  </si>
  <si>
    <t>XEXEU</t>
  </si>
  <si>
    <t>rd_acento</t>
  </si>
  <si>
    <t>rd_sem_acento</t>
  </si>
  <si>
    <t>nm_mun_sem_acento</t>
  </si>
  <si>
    <t>SERTAO DO PAJEU</t>
  </si>
  <si>
    <t>SERTAO DO SAO FRANCISCO</t>
  </si>
  <si>
    <t>SERTAO DO ARARIPE</t>
  </si>
  <si>
    <t>SERTAO DE ITAPARICA</t>
  </si>
  <si>
    <t>SERTAO CENTRAL</t>
  </si>
  <si>
    <t>SERTAO DO MOXOTO</t>
  </si>
  <si>
    <t>macro_sem_acento</t>
  </si>
  <si>
    <t>cod_ibge_mun</t>
  </si>
  <si>
    <t>METROPOLITANA</t>
  </si>
  <si>
    <t>AGRESTE</t>
  </si>
  <si>
    <t>SERTAO PERNAMBUCANO</t>
  </si>
  <si>
    <t>VALE SAO FRANCISCO/ARARIPE</t>
  </si>
  <si>
    <t>macro_num</t>
  </si>
  <si>
    <t>IGUARACI</t>
  </si>
  <si>
    <t>localização</t>
  </si>
  <si>
    <t>Abreu e Lima, PE, BR</t>
  </si>
  <si>
    <t>Afogados da Ingazeira, PE, BR</t>
  </si>
  <si>
    <t>Afrânio, PE, BR</t>
  </si>
  <si>
    <t>Agrestina, PE, BR</t>
  </si>
  <si>
    <t>Água Preta, PE, BR</t>
  </si>
  <si>
    <t>Águas Belas, PE, BR</t>
  </si>
  <si>
    <t>Alagoinha, PE, BR</t>
  </si>
  <si>
    <t>Aliança, PE, BR</t>
  </si>
  <si>
    <t>Altinho, PE, BR</t>
  </si>
  <si>
    <t>Amaraji, PE, BR</t>
  </si>
  <si>
    <t>Angelim, PE, BR</t>
  </si>
  <si>
    <t>Araçoiaba, PE, BR</t>
  </si>
  <si>
    <t>Araripina, PE, BR</t>
  </si>
  <si>
    <t>Arcoverde, PE, BR</t>
  </si>
  <si>
    <t>Barra de Guabiraba, PE, BR</t>
  </si>
  <si>
    <t>Barreiros, PE, BR</t>
  </si>
  <si>
    <t>Belém de Maria, PE, BR</t>
  </si>
  <si>
    <t>Belém de São Francisco, PE, BR</t>
  </si>
  <si>
    <t>Belo Jardim, PE, BR</t>
  </si>
  <si>
    <t>Betânia, PE, BR</t>
  </si>
  <si>
    <t>Bezerros, PE, BR</t>
  </si>
  <si>
    <t>Bodocó, PE, BR</t>
  </si>
  <si>
    <t>Bom Conselho, PE, BR</t>
  </si>
  <si>
    <t>Bom Jardim, PE, BR</t>
  </si>
  <si>
    <t>Bonito, PE, BR</t>
  </si>
  <si>
    <t>Brejão, PE, BR</t>
  </si>
  <si>
    <t>Brejinho, PE, BR</t>
  </si>
  <si>
    <t>Brejo da Madre de Deus, PE, BR</t>
  </si>
  <si>
    <t>Buenos Aires, PE, BR</t>
  </si>
  <si>
    <t>Buíque, PE, BR</t>
  </si>
  <si>
    <t>Cabo de Santo Agostinho, PE, BR</t>
  </si>
  <si>
    <t>Cabrobó, PE, BR</t>
  </si>
  <si>
    <t>Cachoeirinha, PE, BR</t>
  </si>
  <si>
    <t>Caetés, PE, BR</t>
  </si>
  <si>
    <t>Calçado, PE, BR</t>
  </si>
  <si>
    <t>Calumbi, PE, BR</t>
  </si>
  <si>
    <t>Camaragibe, PE, BR</t>
  </si>
  <si>
    <t>Camocim de São Félix, PE, BR</t>
  </si>
  <si>
    <t>Camutanga, PE, BR</t>
  </si>
  <si>
    <t>Canhotinho, PE, BR</t>
  </si>
  <si>
    <t>Capoeiras, PE, BR</t>
  </si>
  <si>
    <t>Carnaíba, PE, BR</t>
  </si>
  <si>
    <t>Carnaubeira da Penha, PE, BR</t>
  </si>
  <si>
    <t>Carpina, PE, BR</t>
  </si>
  <si>
    <t>Caruaru, PE, BR</t>
  </si>
  <si>
    <t>Casinhas, PE, BR</t>
  </si>
  <si>
    <t>Catende, PE, BR</t>
  </si>
  <si>
    <t>Cedro, PE, BR</t>
  </si>
  <si>
    <t>Chã de Alegria, PE, BR</t>
  </si>
  <si>
    <t>Chã Grande, PE, BR</t>
  </si>
  <si>
    <t>Condado, PE, BR</t>
  </si>
  <si>
    <t>Correntes, PE, BR</t>
  </si>
  <si>
    <t>Cortês, PE, BR</t>
  </si>
  <si>
    <t>Cumaru, PE, BR</t>
  </si>
  <si>
    <t>Cupira, PE, BR</t>
  </si>
  <si>
    <t>Custódia, PE, BR</t>
  </si>
  <si>
    <t>Dormentes, PE, BR</t>
  </si>
  <si>
    <t>Escada, PE, BR</t>
  </si>
  <si>
    <t>Exu, PE, BR</t>
  </si>
  <si>
    <t>Feira Nova, PE, BR</t>
  </si>
  <si>
    <t>Fernando de Noronha, PE, BR</t>
  </si>
  <si>
    <t>Ferreiros, PE, BR</t>
  </si>
  <si>
    <t>Flores, PE, BR</t>
  </si>
  <si>
    <t>Floresta, PE, BR</t>
  </si>
  <si>
    <t>Frei Miguelinho,PE, BR</t>
  </si>
  <si>
    <t>Gameleira,PE, BR</t>
  </si>
  <si>
    <t>Garanhuns, PE, BR</t>
  </si>
  <si>
    <t>Glória do Goitá, PE, BR</t>
  </si>
  <si>
    <t>Goiana, PE, BR</t>
  </si>
  <si>
    <t>Granito, PE, BR</t>
  </si>
  <si>
    <t>Gravatá, PE, BR</t>
  </si>
  <si>
    <t>Iati, PE, BR</t>
  </si>
  <si>
    <t>Ibimirim, PE, BR</t>
  </si>
  <si>
    <t>Ibirajuba, PE, BR</t>
  </si>
  <si>
    <t>Igarassu, PE, BR</t>
  </si>
  <si>
    <t>Iguaraci, PE, BR</t>
  </si>
  <si>
    <t>Ilha de Itamaracá, PE, BR</t>
  </si>
  <si>
    <t>Inajá, PE, BR</t>
  </si>
  <si>
    <t>Ingazeira, PE, BR</t>
  </si>
  <si>
    <t>Ipojuca, PE, BR</t>
  </si>
  <si>
    <t>Ipubi, PE, BR</t>
  </si>
  <si>
    <t>Itacuruba, PE, BR</t>
  </si>
  <si>
    <t>Itaiba, PE, BR</t>
  </si>
  <si>
    <t>Itambé, PE, BR</t>
  </si>
  <si>
    <t>Itapetim, PE, BR</t>
  </si>
  <si>
    <t>Itapissuma, PE, BR</t>
  </si>
  <si>
    <t>Itaquitinga, PE, BR</t>
  </si>
  <si>
    <t>Jaboatão dos Guararapes, PE, BR</t>
  </si>
  <si>
    <t>Jaqueira, PE, BR</t>
  </si>
  <si>
    <t>Jataúba, PE, BR</t>
  </si>
  <si>
    <t>Jatobá, PE, BR</t>
  </si>
  <si>
    <t>João Alfredo, PE, BR</t>
  </si>
  <si>
    <t>Joaquim Nabuco, PE, BR</t>
  </si>
  <si>
    <t>Jucati, PE, BR</t>
  </si>
  <si>
    <t>Jupi, PE, BR</t>
  </si>
  <si>
    <t>Jurema, PE, BR</t>
  </si>
  <si>
    <t>Lagoa do Carro, PE, BR</t>
  </si>
  <si>
    <t>Lagoa de Itaenga, PE, BR</t>
  </si>
  <si>
    <t>Lagoa do Ouro, PE, BR</t>
  </si>
  <si>
    <t>Lagoa dos Gatos, PE, BR</t>
  </si>
  <si>
    <t>Lagoa Grande, PE, BR</t>
  </si>
  <si>
    <t>Lajedo, PE, BR</t>
  </si>
  <si>
    <t>Limoeiro, PE, BR</t>
  </si>
  <si>
    <t>Macaparana, PE, BR</t>
  </si>
  <si>
    <t>Machados, PE, BR</t>
  </si>
  <si>
    <t>Manari, PE, BR</t>
  </si>
  <si>
    <t>Maraial, PE, BR</t>
  </si>
  <si>
    <t>Mirandiba, PE, BR</t>
  </si>
  <si>
    <t>Moreilândia, PE, BR</t>
  </si>
  <si>
    <t>Moreno, PE, BR</t>
  </si>
  <si>
    <t>Nazaré da Mata, PE, BR</t>
  </si>
  <si>
    <t>Olinda, PE, BR</t>
  </si>
  <si>
    <t>Orobó, PE, BR</t>
  </si>
  <si>
    <t>Ouricuri, PE, BR</t>
  </si>
  <si>
    <t>Palmares, PE, BR</t>
  </si>
  <si>
    <t>Palmeirina, PE, BR</t>
  </si>
  <si>
    <t>Panelas, PE, BR</t>
  </si>
  <si>
    <t>Paranatama, PE, BR</t>
  </si>
  <si>
    <t>Parnamirim, PE, BR</t>
  </si>
  <si>
    <t>Passira, PE, BR</t>
  </si>
  <si>
    <t>Paudalho, PE, BR</t>
  </si>
  <si>
    <t>Paulista, PE, BR</t>
  </si>
  <si>
    <t>Pedra, PE, BR</t>
  </si>
  <si>
    <t>Pesqueira, PE, BR</t>
  </si>
  <si>
    <t>Petrolândia, PE, BR</t>
  </si>
  <si>
    <t>Poção, PE, BR</t>
  </si>
  <si>
    <t>Pombos, PE, BR</t>
  </si>
  <si>
    <t>Primavera, PE, BR</t>
  </si>
  <si>
    <t>Quipapá, PE, BR</t>
  </si>
  <si>
    <t>Quixabá, PE, BR</t>
  </si>
  <si>
    <t>Recife, PE, BR</t>
  </si>
  <si>
    <t>Riacho das Almas, PE, BR</t>
  </si>
  <si>
    <t>Ribeirão, PE, BR</t>
  </si>
  <si>
    <t>Rio Formoso, PE, BR</t>
  </si>
  <si>
    <t>Sairé, PE, BR</t>
  </si>
  <si>
    <t>Salgadinho, PE, BR</t>
  </si>
  <si>
    <t>Salgueiro, PE, BR</t>
  </si>
  <si>
    <t>Saloá, PE, BR</t>
  </si>
  <si>
    <t>Sanharó, PE, BR</t>
  </si>
  <si>
    <t>Santa Cruz da Baixa Verde, PE, BR</t>
  </si>
  <si>
    <t>Santa Cruz do Capibaribe, PE, BR</t>
  </si>
  <si>
    <t>Santa Filomena, PE, BR</t>
  </si>
  <si>
    <t>Santa Maria da Boa Vista, PE, BR</t>
  </si>
  <si>
    <t>Santa Maria do Cambucá, PE, BR</t>
  </si>
  <si>
    <t>Santa Terezinha, PE, BR</t>
  </si>
  <si>
    <t>São Benedito do Sul, PE, BR</t>
  </si>
  <si>
    <t>São Bento do Una, PE, BR</t>
  </si>
  <si>
    <t>São Caitano, PE, BR</t>
  </si>
  <si>
    <t>São João, PE, BR</t>
  </si>
  <si>
    <t>São Joaquim do Monte, PE, BR</t>
  </si>
  <si>
    <t>São José da Coroa Grande, PE, BR</t>
  </si>
  <si>
    <t>São José do Belmonte, PE, BR</t>
  </si>
  <si>
    <t>São José do Egito, PE, BR</t>
  </si>
  <si>
    <t>São Lourenço da Mata, PE, BR</t>
  </si>
  <si>
    <t>São Vicente Ferrer, PE, BR</t>
  </si>
  <si>
    <t>Serra Talhada, PE, BR</t>
  </si>
  <si>
    <t>Serrita, PE, BR</t>
  </si>
  <si>
    <t>Sertânia, PE, BR</t>
  </si>
  <si>
    <t>Solidão, PE, BR</t>
  </si>
  <si>
    <t>Surubim, PE, BR</t>
  </si>
  <si>
    <t>Tabira, PE, BR</t>
  </si>
  <si>
    <t>Tacaimbó, PE, BR</t>
  </si>
  <si>
    <t>Tacaratú, PE, BR</t>
  </si>
  <si>
    <t>Tamandaré, PE, BR</t>
  </si>
  <si>
    <t>Taquaritinga do Norte, PE, BR</t>
  </si>
  <si>
    <t>Terezinha, PE, BR</t>
  </si>
  <si>
    <t>Timbaúba, PE, BR</t>
  </si>
  <si>
    <t>Toritama, PE, BR</t>
  </si>
  <si>
    <t>Tracunhaém, PE, BR</t>
  </si>
  <si>
    <t>Trindade, PE, BR</t>
  </si>
  <si>
    <t>Triunfo, PE, BR</t>
  </si>
  <si>
    <t>Tupanatinga, PE, BR</t>
  </si>
  <si>
    <t>Tuparetama, PE, BR</t>
  </si>
  <si>
    <t>Venturosa, PE, BR</t>
  </si>
  <si>
    <t>Verdejante, PE, BR</t>
  </si>
  <si>
    <t>Vertente do Lério, PE, BR</t>
  </si>
  <si>
    <t>Vertentes, PE, BR</t>
  </si>
  <si>
    <t>Vicência, PE, BR</t>
  </si>
  <si>
    <t>Vitória de Santo Antão, PE, BR</t>
  </si>
  <si>
    <t>Xexéu, PE, BR</t>
  </si>
  <si>
    <t>cod_ibge_uf</t>
  </si>
  <si>
    <t>MACRO I</t>
  </si>
  <si>
    <t>MACRO II</t>
  </si>
  <si>
    <t>MACRO III</t>
  </si>
  <si>
    <t>MACRO IV</t>
  </si>
  <si>
    <t>Oroco, PE, BR</t>
  </si>
  <si>
    <t>cod_ibge_mun - 6 dígitos</t>
  </si>
  <si>
    <t>Latitude</t>
  </si>
  <si>
    <t>Longitude</t>
  </si>
  <si>
    <t>Trapiche, PE, BR</t>
  </si>
  <si>
    <t>Petrolina, PE, BR</t>
  </si>
  <si>
    <t>Santa Cruz, PE, BR</t>
  </si>
  <si>
    <t>Ipueiras, PE,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</si>
</sst>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3" fontId="0" fillId="0" borderId="1" xfId="0" applyNumberFormat="1" applyBorder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olfo.andrade\Desktop\Mun_P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2"/>
    </sheetNames>
    <sheetDataSet>
      <sheetData sheetId="0">
        <row r="1">
          <cell r="A1" t="str">
            <v>Codigo IBGE</v>
          </cell>
          <cell r="B1" t="str">
            <v>Nome do Municipio</v>
          </cell>
          <cell r="C1" t="str">
            <v>Latitude</v>
          </cell>
          <cell r="D1" t="str">
            <v>Longitude</v>
          </cell>
        </row>
        <row r="2">
          <cell r="A2">
            <v>2600054</v>
          </cell>
          <cell r="B2" t="str">
            <v>ABREU E LIMA</v>
          </cell>
          <cell r="C2">
            <v>-7904</v>
          </cell>
          <cell r="D2">
            <v>-34908</v>
          </cell>
        </row>
        <row r="3">
          <cell r="A3">
            <v>2600104</v>
          </cell>
          <cell r="B3" t="str">
            <v>AFOGADOS DA INGAZEIRA</v>
          </cell>
          <cell r="C3">
            <v>-7756</v>
          </cell>
          <cell r="D3">
            <v>-37646</v>
          </cell>
        </row>
        <row r="4">
          <cell r="A4">
            <v>2600203</v>
          </cell>
          <cell r="B4" t="str">
            <v>AFRANIO</v>
          </cell>
          <cell r="C4">
            <v>-8490</v>
          </cell>
          <cell r="D4">
            <v>-40758</v>
          </cell>
        </row>
        <row r="5">
          <cell r="A5">
            <v>2600302</v>
          </cell>
          <cell r="B5" t="str">
            <v>AGRESTINA</v>
          </cell>
          <cell r="C5">
            <v>-8431</v>
          </cell>
          <cell r="D5">
            <v>-35952</v>
          </cell>
        </row>
        <row r="6">
          <cell r="A6">
            <v>2600401</v>
          </cell>
          <cell r="B6" t="str">
            <v>AGUA PRETA</v>
          </cell>
          <cell r="C6">
            <v>-8703</v>
          </cell>
          <cell r="D6">
            <v>-35293</v>
          </cell>
        </row>
        <row r="7">
          <cell r="A7">
            <v>2600500</v>
          </cell>
          <cell r="B7" t="str">
            <v>AGUAS BELAS</v>
          </cell>
          <cell r="C7">
            <v>-9112</v>
          </cell>
          <cell r="D7">
            <v>-37108</v>
          </cell>
        </row>
        <row r="8">
          <cell r="A8">
            <v>2600609</v>
          </cell>
          <cell r="B8" t="str">
            <v>ALAGOINHA</v>
          </cell>
          <cell r="C8">
            <v>-8472</v>
          </cell>
          <cell r="D8">
            <v>-36772</v>
          </cell>
        </row>
        <row r="9">
          <cell r="A9">
            <v>2600708</v>
          </cell>
          <cell r="B9" t="str">
            <v>ALIANCA</v>
          </cell>
          <cell r="C9">
            <v>-7592</v>
          </cell>
          <cell r="D9">
            <v>-35234</v>
          </cell>
        </row>
        <row r="10">
          <cell r="A10">
            <v>2600807</v>
          </cell>
          <cell r="B10" t="str">
            <v>ALTINHO</v>
          </cell>
          <cell r="C10">
            <v>-8487</v>
          </cell>
          <cell r="D10">
            <v>-36273</v>
          </cell>
        </row>
        <row r="11">
          <cell r="A11">
            <v>2600906</v>
          </cell>
          <cell r="B11" t="str">
            <v>AMARAJI</v>
          </cell>
          <cell r="C11">
            <v>-8384</v>
          </cell>
          <cell r="D11">
            <v>-35459</v>
          </cell>
        </row>
        <row r="12">
          <cell r="A12">
            <v>2601003</v>
          </cell>
          <cell r="B12" t="str">
            <v>ANGELIM</v>
          </cell>
          <cell r="C12">
            <v>-9006</v>
          </cell>
          <cell r="D12">
            <v>-37604</v>
          </cell>
        </row>
        <row r="13">
          <cell r="A13">
            <v>2601052</v>
          </cell>
          <cell r="B13" t="str">
            <v>ARACOIABA</v>
          </cell>
          <cell r="C13">
            <v>-7785</v>
          </cell>
          <cell r="D13">
            <v>-35050</v>
          </cell>
        </row>
        <row r="14">
          <cell r="A14">
            <v>2601102</v>
          </cell>
          <cell r="B14" t="str">
            <v>ARARIPINA</v>
          </cell>
          <cell r="C14">
            <v>-7551</v>
          </cell>
          <cell r="D14">
            <v>-40498</v>
          </cell>
        </row>
        <row r="15">
          <cell r="A15">
            <v>2601201</v>
          </cell>
          <cell r="B15" t="str">
            <v>ARCOVERDE</v>
          </cell>
          <cell r="C15">
            <v>-8419</v>
          </cell>
          <cell r="D15">
            <v>-37054</v>
          </cell>
        </row>
        <row r="16">
          <cell r="A16">
            <v>2601300</v>
          </cell>
          <cell r="B16" t="str">
            <v>BARRA DE GUABIRABA</v>
          </cell>
          <cell r="C16">
            <v>-8411</v>
          </cell>
          <cell r="D16">
            <v>-35631</v>
          </cell>
        </row>
        <row r="17">
          <cell r="A17">
            <v>2601409</v>
          </cell>
          <cell r="B17" t="str">
            <v>BARREIROS</v>
          </cell>
          <cell r="C17">
            <v>-8784</v>
          </cell>
          <cell r="D17">
            <v>-35176</v>
          </cell>
        </row>
        <row r="18">
          <cell r="A18">
            <v>2601508</v>
          </cell>
          <cell r="B18" t="str">
            <v>BELEM DE MARIA</v>
          </cell>
          <cell r="C18">
            <v>-8675</v>
          </cell>
          <cell r="D18">
            <v>-35617</v>
          </cell>
        </row>
        <row r="19">
          <cell r="A19">
            <v>2601607</v>
          </cell>
          <cell r="B19" t="str">
            <v>BELEM DE SAO FRANCISCO</v>
          </cell>
          <cell r="C19">
            <v>-8761</v>
          </cell>
          <cell r="D19">
            <v>-39020</v>
          </cell>
        </row>
        <row r="20">
          <cell r="A20">
            <v>2601706</v>
          </cell>
          <cell r="B20" t="str">
            <v>BELO JARDIM</v>
          </cell>
          <cell r="C20">
            <v>-8337</v>
          </cell>
          <cell r="D20">
            <v>-36438</v>
          </cell>
        </row>
        <row r="21">
          <cell r="A21">
            <v>2601805</v>
          </cell>
          <cell r="B21" t="str">
            <v>BETANIA</v>
          </cell>
          <cell r="C21">
            <v>-8291</v>
          </cell>
          <cell r="D21">
            <v>-38077</v>
          </cell>
        </row>
        <row r="22">
          <cell r="A22">
            <v>2601904</v>
          </cell>
          <cell r="B22" t="str">
            <v>BEZERROS</v>
          </cell>
          <cell r="C22">
            <v>-8257</v>
          </cell>
          <cell r="D22">
            <v>-35795</v>
          </cell>
        </row>
        <row r="23">
          <cell r="A23">
            <v>2602001</v>
          </cell>
          <cell r="B23" t="str">
            <v>BODOCO</v>
          </cell>
          <cell r="C23">
            <v>-7785</v>
          </cell>
          <cell r="D23">
            <v>-39932</v>
          </cell>
        </row>
        <row r="24">
          <cell r="A24">
            <v>2602100</v>
          </cell>
          <cell r="B24" t="str">
            <v>BOM CONSELHO</v>
          </cell>
          <cell r="C24">
            <v>-9186</v>
          </cell>
          <cell r="D24">
            <v>-36758</v>
          </cell>
        </row>
        <row r="25">
          <cell r="A25">
            <v>2602209</v>
          </cell>
          <cell r="B25" t="str">
            <v>BOM JARDIM</v>
          </cell>
          <cell r="C25">
            <v>-7778</v>
          </cell>
          <cell r="D25">
            <v>-35590</v>
          </cell>
        </row>
        <row r="26">
          <cell r="A26">
            <v>2602308</v>
          </cell>
          <cell r="B26" t="str">
            <v>BONITO</v>
          </cell>
          <cell r="C26">
            <v>-8468</v>
          </cell>
          <cell r="D26">
            <v>-35748</v>
          </cell>
        </row>
        <row r="27">
          <cell r="A27">
            <v>2602407</v>
          </cell>
          <cell r="B27" t="str">
            <v>BREJAO</v>
          </cell>
          <cell r="C27">
            <v>-9028</v>
          </cell>
          <cell r="D27">
            <v>-36471</v>
          </cell>
        </row>
        <row r="28">
          <cell r="A28">
            <v>2602506</v>
          </cell>
          <cell r="B28" t="str">
            <v>BREJINHO</v>
          </cell>
          <cell r="C28">
            <v>-7340</v>
          </cell>
          <cell r="D28">
            <v>-37382</v>
          </cell>
        </row>
        <row r="29">
          <cell r="A29">
            <v>2602605</v>
          </cell>
          <cell r="B29" t="str">
            <v>BREJO DA MADRE DE DEUS</v>
          </cell>
          <cell r="C29">
            <v>-8156</v>
          </cell>
          <cell r="D29">
            <v>-36372</v>
          </cell>
        </row>
        <row r="30">
          <cell r="A30">
            <v>2602704</v>
          </cell>
          <cell r="B30" t="str">
            <v>BUENOS AIRES</v>
          </cell>
          <cell r="C30">
            <v>-7694</v>
          </cell>
          <cell r="D30">
            <v>-35340</v>
          </cell>
        </row>
        <row r="31">
          <cell r="A31">
            <v>2602803</v>
          </cell>
          <cell r="B31" t="str">
            <v>BUIQUE</v>
          </cell>
          <cell r="C31">
            <v>-8471</v>
          </cell>
          <cell r="D31">
            <v>-37165</v>
          </cell>
        </row>
        <row r="32">
          <cell r="A32">
            <v>2602902</v>
          </cell>
          <cell r="B32" t="str">
            <v>CABO DE SANTO AGOSTINHO</v>
          </cell>
          <cell r="C32">
            <v>-8286</v>
          </cell>
          <cell r="D32">
            <v>-35034</v>
          </cell>
        </row>
        <row r="33">
          <cell r="A33">
            <v>2603009</v>
          </cell>
          <cell r="B33" t="str">
            <v>CABROBO</v>
          </cell>
          <cell r="C33">
            <v>-8490</v>
          </cell>
          <cell r="D33">
            <v>-39308</v>
          </cell>
        </row>
        <row r="34">
          <cell r="A34">
            <v>2603108</v>
          </cell>
          <cell r="B34" t="str">
            <v>CACHOEIRINHA</v>
          </cell>
          <cell r="C34">
            <v>-8307</v>
          </cell>
          <cell r="D34">
            <v>-36002</v>
          </cell>
        </row>
        <row r="35">
          <cell r="A35">
            <v>2603207</v>
          </cell>
          <cell r="B35" t="str">
            <v>CAETES</v>
          </cell>
          <cell r="C35">
            <v>-8775</v>
          </cell>
          <cell r="D35">
            <v>-36634</v>
          </cell>
        </row>
        <row r="36">
          <cell r="A36">
            <v>2603306</v>
          </cell>
          <cell r="B36" t="str">
            <v>CALCADO</v>
          </cell>
          <cell r="C36">
            <v>-8847</v>
          </cell>
          <cell r="D36">
            <v>-36398</v>
          </cell>
        </row>
        <row r="37">
          <cell r="A37">
            <v>2603405</v>
          </cell>
          <cell r="B37" t="str">
            <v>CALUMBI</v>
          </cell>
          <cell r="C37">
            <v>-8232</v>
          </cell>
          <cell r="D37">
            <v>-38297</v>
          </cell>
        </row>
        <row r="38">
          <cell r="A38">
            <v>2603454</v>
          </cell>
          <cell r="B38" t="str">
            <v>CAMARAGIBE</v>
          </cell>
          <cell r="C38">
            <v>-8026</v>
          </cell>
          <cell r="D38">
            <v>-34954</v>
          </cell>
        </row>
        <row r="39">
          <cell r="A39">
            <v>2603504</v>
          </cell>
          <cell r="B39" t="str">
            <v>CAMOCIM DE SAO FELIX</v>
          </cell>
          <cell r="C39">
            <v>-8349</v>
          </cell>
          <cell r="D39">
            <v>-35746</v>
          </cell>
        </row>
        <row r="40">
          <cell r="A40">
            <v>2603603</v>
          </cell>
          <cell r="B40" t="str">
            <v>CAMUTANGA</v>
          </cell>
          <cell r="C40">
            <v>-7531</v>
          </cell>
          <cell r="D40">
            <v>-35250</v>
          </cell>
        </row>
        <row r="41">
          <cell r="A41">
            <v>2603702</v>
          </cell>
          <cell r="B41" t="str">
            <v>CANHOTINHO</v>
          </cell>
          <cell r="C41">
            <v>-8887</v>
          </cell>
          <cell r="D41">
            <v>-36377</v>
          </cell>
        </row>
        <row r="42">
          <cell r="A42">
            <v>2603801</v>
          </cell>
          <cell r="B42" t="str">
            <v>CAPOEIRAS</v>
          </cell>
          <cell r="C42">
            <v>-8675</v>
          </cell>
          <cell r="D42">
            <v>-36621</v>
          </cell>
        </row>
        <row r="43">
          <cell r="A43">
            <v>2603900</v>
          </cell>
          <cell r="B43" t="str">
            <v>CARNAIBA</v>
          </cell>
          <cell r="C43">
            <v>-7839</v>
          </cell>
          <cell r="D43">
            <v>-37766</v>
          </cell>
        </row>
        <row r="44">
          <cell r="A44">
            <v>2603926</v>
          </cell>
          <cell r="B44" t="str">
            <v>CARNAUBEIRA DA PENHA</v>
          </cell>
          <cell r="C44">
            <v>-8243</v>
          </cell>
          <cell r="D44">
            <v>-39467</v>
          </cell>
        </row>
        <row r="45">
          <cell r="A45">
            <v>2604007</v>
          </cell>
          <cell r="B45" t="str">
            <v>CARPINA</v>
          </cell>
          <cell r="C45">
            <v>-7834</v>
          </cell>
          <cell r="D45">
            <v>-35155</v>
          </cell>
        </row>
        <row r="46">
          <cell r="A46">
            <v>2604106</v>
          </cell>
          <cell r="B46" t="str">
            <v>CARUARU</v>
          </cell>
          <cell r="C46">
            <v>-8277</v>
          </cell>
          <cell r="D46">
            <v>-35975</v>
          </cell>
        </row>
        <row r="47">
          <cell r="A47">
            <v>2604155</v>
          </cell>
          <cell r="B47" t="str">
            <v>CASINHAS</v>
          </cell>
          <cell r="C47">
            <v>-7728</v>
          </cell>
          <cell r="D47">
            <v>-35539</v>
          </cell>
        </row>
        <row r="48">
          <cell r="A48">
            <v>2604205</v>
          </cell>
          <cell r="B48" t="str">
            <v>CATENDE</v>
          </cell>
          <cell r="C48">
            <v>-8647</v>
          </cell>
          <cell r="D48">
            <v>-35411</v>
          </cell>
        </row>
        <row r="49">
          <cell r="A49">
            <v>2604304</v>
          </cell>
          <cell r="B49" t="str">
            <v>CEDRO</v>
          </cell>
          <cell r="C49">
            <v>-7863</v>
          </cell>
          <cell r="D49">
            <v>-39112</v>
          </cell>
        </row>
        <row r="50">
          <cell r="A50">
            <v>2604403</v>
          </cell>
          <cell r="B50" t="str">
            <v>CHA DE ALEGRIA</v>
          </cell>
          <cell r="C50">
            <v>-7954</v>
          </cell>
          <cell r="D50">
            <v>-35289</v>
          </cell>
        </row>
        <row r="51">
          <cell r="A51">
            <v>2604502</v>
          </cell>
          <cell r="B51" t="str">
            <v>CHA GRANDE</v>
          </cell>
          <cell r="C51">
            <v>-8077</v>
          </cell>
          <cell r="D51">
            <v>-35460</v>
          </cell>
        </row>
        <row r="52">
          <cell r="A52">
            <v>2604601</v>
          </cell>
          <cell r="B52" t="str">
            <v>CONDADO</v>
          </cell>
          <cell r="C52">
            <v>-7585</v>
          </cell>
          <cell r="D52">
            <v>-35088</v>
          </cell>
        </row>
        <row r="53">
          <cell r="A53">
            <v>2604700</v>
          </cell>
          <cell r="B53" t="str">
            <v>CORRENTES</v>
          </cell>
          <cell r="C53">
            <v>-9123</v>
          </cell>
          <cell r="D53">
            <v>-36331</v>
          </cell>
        </row>
        <row r="54">
          <cell r="A54">
            <v>2604809</v>
          </cell>
          <cell r="B54" t="str">
            <v>CORTES</v>
          </cell>
          <cell r="C54">
            <v>-8549</v>
          </cell>
          <cell r="D54">
            <v>-35212</v>
          </cell>
        </row>
        <row r="55">
          <cell r="A55">
            <v>2604908</v>
          </cell>
          <cell r="B55" t="str">
            <v>CUMARU</v>
          </cell>
          <cell r="C55">
            <v>-7957</v>
          </cell>
          <cell r="D55">
            <v>-35749</v>
          </cell>
        </row>
        <row r="56">
          <cell r="A56">
            <v>2605004</v>
          </cell>
          <cell r="B56" t="str">
            <v>CUPIRA</v>
          </cell>
          <cell r="C56">
            <v>-8591</v>
          </cell>
          <cell r="D56">
            <v>-35787</v>
          </cell>
        </row>
        <row r="57">
          <cell r="A57">
            <v>2605103</v>
          </cell>
          <cell r="B57" t="str">
            <v>CUSTODIA</v>
          </cell>
          <cell r="C57">
            <v>-8081</v>
          </cell>
          <cell r="D57">
            <v>-37636</v>
          </cell>
        </row>
        <row r="58">
          <cell r="A58">
            <v>2605152</v>
          </cell>
          <cell r="B58" t="str">
            <v>DORMENTES</v>
          </cell>
          <cell r="C58">
            <v>-8043</v>
          </cell>
          <cell r="D58">
            <v>-40751</v>
          </cell>
        </row>
        <row r="59">
          <cell r="A59">
            <v>2605202</v>
          </cell>
          <cell r="B59" t="str">
            <v>ESCADA</v>
          </cell>
          <cell r="C59">
            <v>-8361</v>
          </cell>
          <cell r="D59">
            <v>-35210</v>
          </cell>
        </row>
        <row r="60">
          <cell r="A60">
            <v>2605301</v>
          </cell>
          <cell r="B60" t="str">
            <v>EXU</v>
          </cell>
          <cell r="C60">
            <v>-7502</v>
          </cell>
          <cell r="D60">
            <v>-39734</v>
          </cell>
        </row>
        <row r="61">
          <cell r="A61">
            <v>2605400</v>
          </cell>
          <cell r="B61" t="str">
            <v>FEIRA NOVA</v>
          </cell>
          <cell r="C61">
            <v>-7876</v>
          </cell>
          <cell r="D61">
            <v>-35405</v>
          </cell>
        </row>
        <row r="62">
          <cell r="A62">
            <v>2605459</v>
          </cell>
          <cell r="B62" t="str">
            <v>FERNANDO DE NORONHA</v>
          </cell>
          <cell r="C62">
            <v>-3856</v>
          </cell>
          <cell r="D62">
            <v>-32428</v>
          </cell>
        </row>
        <row r="63">
          <cell r="A63">
            <v>2605509</v>
          </cell>
          <cell r="B63" t="str">
            <v>FERREIROS</v>
          </cell>
          <cell r="C63">
            <v>-7424</v>
          </cell>
          <cell r="D63">
            <v>-35244</v>
          </cell>
        </row>
        <row r="64">
          <cell r="A64">
            <v>2605608</v>
          </cell>
          <cell r="B64" t="str">
            <v>FLORES</v>
          </cell>
          <cell r="C64">
            <v>-8271</v>
          </cell>
          <cell r="D64">
            <v>-37958</v>
          </cell>
        </row>
        <row r="65">
          <cell r="A65">
            <v>2605707</v>
          </cell>
          <cell r="B65" t="str">
            <v>FLORESTA</v>
          </cell>
          <cell r="C65">
            <v>-8601</v>
          </cell>
          <cell r="D65">
            <v>-38560</v>
          </cell>
        </row>
        <row r="66">
          <cell r="A66">
            <v>2605806</v>
          </cell>
          <cell r="B66" t="str">
            <v>FREI MIGUELINHO</v>
          </cell>
          <cell r="C66">
            <v>-8007</v>
          </cell>
          <cell r="D66">
            <v>-35779</v>
          </cell>
        </row>
        <row r="67">
          <cell r="A67">
            <v>2605905</v>
          </cell>
          <cell r="B67" t="str">
            <v>GAMELEIRA</v>
          </cell>
          <cell r="C67">
            <v>-8649</v>
          </cell>
          <cell r="D67">
            <v>-35321</v>
          </cell>
        </row>
        <row r="68">
          <cell r="A68">
            <v>2606002</v>
          </cell>
          <cell r="B68" t="str">
            <v>GARANHUNS</v>
          </cell>
          <cell r="C68">
            <v>-8895</v>
          </cell>
          <cell r="D68">
            <v>-36495</v>
          </cell>
        </row>
        <row r="69">
          <cell r="A69">
            <v>2606101</v>
          </cell>
          <cell r="B69" t="str">
            <v>GLORIA DO GOITA</v>
          </cell>
          <cell r="C69">
            <v>-7940</v>
          </cell>
          <cell r="D69">
            <v>-35309</v>
          </cell>
        </row>
        <row r="70">
          <cell r="A70">
            <v>2606200</v>
          </cell>
          <cell r="B70" t="str">
            <v>GOIANA</v>
          </cell>
          <cell r="C70">
            <v>-7556</v>
          </cell>
          <cell r="D70">
            <v>-35006</v>
          </cell>
        </row>
        <row r="71">
          <cell r="A71">
            <v>2606309</v>
          </cell>
          <cell r="B71" t="str">
            <v>GRANITO</v>
          </cell>
          <cell r="C71">
            <v>-7739</v>
          </cell>
          <cell r="D71">
            <v>-39691</v>
          </cell>
        </row>
        <row r="72">
          <cell r="A72">
            <v>2606408</v>
          </cell>
          <cell r="B72" t="str">
            <v>GRAVATA</v>
          </cell>
          <cell r="C72">
            <v>-8204</v>
          </cell>
          <cell r="D72">
            <v>-35586</v>
          </cell>
        </row>
        <row r="73">
          <cell r="A73">
            <v>2606507</v>
          </cell>
          <cell r="B73" t="str">
            <v>IATI</v>
          </cell>
          <cell r="C73">
            <v>-9098</v>
          </cell>
          <cell r="D73">
            <v>-37284</v>
          </cell>
        </row>
        <row r="74">
          <cell r="A74">
            <v>2606606</v>
          </cell>
          <cell r="B74" t="str">
            <v>IBIMIRIM</v>
          </cell>
          <cell r="C74">
            <v>-8540</v>
          </cell>
          <cell r="D74">
            <v>-37691</v>
          </cell>
        </row>
        <row r="75">
          <cell r="A75">
            <v>2606705</v>
          </cell>
          <cell r="B75" t="str">
            <v>IBIRAJUBA</v>
          </cell>
          <cell r="C75">
            <v>-8558</v>
          </cell>
          <cell r="D75">
            <v>-36002</v>
          </cell>
        </row>
        <row r="76">
          <cell r="A76">
            <v>2606804</v>
          </cell>
          <cell r="B76" t="str">
            <v>IGARASSU</v>
          </cell>
          <cell r="C76">
            <v>-7834</v>
          </cell>
          <cell r="D76">
            <v>-34918</v>
          </cell>
        </row>
        <row r="77">
          <cell r="A77">
            <v>2606903</v>
          </cell>
          <cell r="B77" t="str">
            <v>IGUARACI</v>
          </cell>
          <cell r="C77">
            <v>-7808</v>
          </cell>
          <cell r="D77">
            <v>-37494</v>
          </cell>
        </row>
        <row r="78">
          <cell r="A78">
            <v>2607604</v>
          </cell>
          <cell r="B78" t="str">
            <v>ILHA DE ITAMARACA</v>
          </cell>
          <cell r="C78">
            <v>-7747</v>
          </cell>
          <cell r="D78">
            <v>-34821</v>
          </cell>
        </row>
        <row r="79">
          <cell r="A79">
            <v>2607000</v>
          </cell>
          <cell r="B79" t="str">
            <v>INAJA</v>
          </cell>
          <cell r="C79">
            <v>-8349</v>
          </cell>
          <cell r="D79">
            <v>-37994</v>
          </cell>
        </row>
        <row r="80">
          <cell r="A80">
            <v>2607109</v>
          </cell>
          <cell r="B80" t="str">
            <v>INGAZEIRA</v>
          </cell>
          <cell r="C80">
            <v>-7632</v>
          </cell>
          <cell r="D80">
            <v>-37447</v>
          </cell>
        </row>
        <row r="81">
          <cell r="A81">
            <v>2607208</v>
          </cell>
          <cell r="B81" t="str">
            <v>IPOJUCA</v>
          </cell>
          <cell r="C81">
            <v>-8402</v>
          </cell>
          <cell r="D81">
            <v>-35066</v>
          </cell>
        </row>
        <row r="82">
          <cell r="A82">
            <v>2607307</v>
          </cell>
          <cell r="B82" t="str">
            <v>IPUBI</v>
          </cell>
          <cell r="C82">
            <v>-7669</v>
          </cell>
          <cell r="D82">
            <v>-40134</v>
          </cell>
        </row>
        <row r="83">
          <cell r="A83">
            <v>2607406</v>
          </cell>
          <cell r="B83" t="str">
            <v>ITACURUBA</v>
          </cell>
          <cell r="C83">
            <v>-8586</v>
          </cell>
          <cell r="D83">
            <v>-39062</v>
          </cell>
        </row>
        <row r="84">
          <cell r="A84">
            <v>2607505</v>
          </cell>
          <cell r="B84" t="str">
            <v>ITAIBA</v>
          </cell>
          <cell r="C84">
            <v>-9006</v>
          </cell>
          <cell r="D84">
            <v>-37476</v>
          </cell>
        </row>
        <row r="85">
          <cell r="A85">
            <v>2607653</v>
          </cell>
          <cell r="B85" t="str">
            <v>ITAMBE</v>
          </cell>
          <cell r="C85">
            <v>-7424</v>
          </cell>
          <cell r="D85">
            <v>-35109</v>
          </cell>
        </row>
        <row r="86">
          <cell r="A86">
            <v>2607703</v>
          </cell>
          <cell r="B86" t="str">
            <v>ITAPETIM</v>
          </cell>
          <cell r="C86">
            <v>-7369</v>
          </cell>
          <cell r="D86">
            <v>-37214</v>
          </cell>
        </row>
        <row r="87">
          <cell r="A87">
            <v>2607752</v>
          </cell>
          <cell r="B87" t="str">
            <v>ITAPISSUMA</v>
          </cell>
          <cell r="C87">
            <v>-7777</v>
          </cell>
          <cell r="D87">
            <v>-34898</v>
          </cell>
        </row>
        <row r="88">
          <cell r="A88">
            <v>2607802</v>
          </cell>
          <cell r="B88" t="str">
            <v>ITAQUITINGA</v>
          </cell>
          <cell r="C88">
            <v>-7694</v>
          </cell>
          <cell r="D88">
            <v>-35250</v>
          </cell>
        </row>
        <row r="89">
          <cell r="A89">
            <v>2607901</v>
          </cell>
          <cell r="B89" t="str">
            <v>JABOATAO DOS GUARARAPES</v>
          </cell>
          <cell r="C89">
            <v>-8103</v>
          </cell>
          <cell r="D89">
            <v>-34922</v>
          </cell>
        </row>
        <row r="90">
          <cell r="A90">
            <v>2607950</v>
          </cell>
          <cell r="B90" t="str">
            <v>JAQUEIRA</v>
          </cell>
          <cell r="C90">
            <v>-8777</v>
          </cell>
          <cell r="D90">
            <v>-35795</v>
          </cell>
        </row>
        <row r="91">
          <cell r="A91">
            <v>2608008</v>
          </cell>
          <cell r="B91" t="str">
            <v>JATAUBA</v>
          </cell>
          <cell r="C91">
            <v>-8077</v>
          </cell>
          <cell r="D91">
            <v>-36565</v>
          </cell>
        </row>
        <row r="92">
          <cell r="A92">
            <v>2608057</v>
          </cell>
          <cell r="B92" t="str">
            <v>JATOBA</v>
          </cell>
          <cell r="C92">
            <v>-9103</v>
          </cell>
          <cell r="D92">
            <v>-38258</v>
          </cell>
        </row>
        <row r="93">
          <cell r="A93">
            <v>2608107</v>
          </cell>
          <cell r="B93" t="str">
            <v>JOAO ALFREDO</v>
          </cell>
          <cell r="C93">
            <v>-7854</v>
          </cell>
          <cell r="D93">
            <v>-35586</v>
          </cell>
        </row>
        <row r="94">
          <cell r="A94">
            <v>2608206</v>
          </cell>
          <cell r="B94" t="str">
            <v>JOAQUIM NABUCO</v>
          </cell>
          <cell r="C94">
            <v>-8644</v>
          </cell>
          <cell r="D94">
            <v>-35539</v>
          </cell>
        </row>
        <row r="95">
          <cell r="A95">
            <v>2608255</v>
          </cell>
          <cell r="B95" t="str">
            <v>JUCATI</v>
          </cell>
          <cell r="C95">
            <v>-8761</v>
          </cell>
          <cell r="D95">
            <v>-36539</v>
          </cell>
        </row>
        <row r="96">
          <cell r="A96">
            <v>2608305</v>
          </cell>
          <cell r="B96" t="str">
            <v>JUPI</v>
          </cell>
          <cell r="C96">
            <v>-8784</v>
          </cell>
          <cell r="D96">
            <v>-36425</v>
          </cell>
        </row>
        <row r="97">
          <cell r="A97">
            <v>2608404</v>
          </cell>
          <cell r="B97" t="str">
            <v>JUREMA</v>
          </cell>
          <cell r="C97">
            <v>-8766</v>
          </cell>
          <cell r="D97">
            <v>-36212</v>
          </cell>
        </row>
        <row r="98">
          <cell r="A98">
            <v>2608503</v>
          </cell>
          <cell r="B98" t="str">
            <v>LAGOA DE ITAENGA</v>
          </cell>
          <cell r="C98">
            <v>-7954</v>
          </cell>
          <cell r="D98">
            <v>-35340</v>
          </cell>
        </row>
        <row r="99">
          <cell r="A99">
            <v>2608453</v>
          </cell>
          <cell r="B99" t="str">
            <v>LAGOA DO CARRO</v>
          </cell>
          <cell r="C99">
            <v>-7834</v>
          </cell>
          <cell r="D99">
            <v>-35340</v>
          </cell>
        </row>
        <row r="100">
          <cell r="A100">
            <v>2608602</v>
          </cell>
          <cell r="B100" t="str">
            <v>LAGOA DO OURO</v>
          </cell>
          <cell r="C100">
            <v>-9112</v>
          </cell>
          <cell r="D100">
            <v>-36529</v>
          </cell>
        </row>
        <row r="101">
          <cell r="A101">
            <v>2608701</v>
          </cell>
          <cell r="B101" t="str">
            <v>LAGOA DOS GATOS</v>
          </cell>
          <cell r="C101">
            <v>-8629</v>
          </cell>
          <cell r="D101">
            <v>-35918</v>
          </cell>
        </row>
        <row r="102">
          <cell r="A102">
            <v>2608750</v>
          </cell>
          <cell r="B102" t="str">
            <v>LAGOA GRANDE</v>
          </cell>
          <cell r="C102">
            <v>-8995</v>
          </cell>
          <cell r="D102">
            <v>-40264</v>
          </cell>
        </row>
        <row r="103">
          <cell r="A103">
            <v>2608800</v>
          </cell>
          <cell r="B103" t="str">
            <v>LAJEDO</v>
          </cell>
          <cell r="C103">
            <v>-8675</v>
          </cell>
          <cell r="D103">
            <v>-36315</v>
          </cell>
        </row>
        <row r="104">
          <cell r="A104">
            <v>2608909</v>
          </cell>
          <cell r="B104" t="str">
            <v>LIMOEIRO</v>
          </cell>
          <cell r="C104">
            <v>-7886</v>
          </cell>
          <cell r="D104">
            <v>-35460</v>
          </cell>
        </row>
        <row r="105">
          <cell r="A105">
            <v>2609006</v>
          </cell>
          <cell r="B105" t="str">
            <v>MACAPARANA</v>
          </cell>
          <cell r="C105">
            <v>-7519</v>
          </cell>
          <cell r="D105">
            <v>-35378</v>
          </cell>
        </row>
        <row r="106">
          <cell r="A106">
            <v>2609105</v>
          </cell>
          <cell r="B106" t="str">
            <v>MACHADOS</v>
          </cell>
          <cell r="C106">
            <v>-7778</v>
          </cell>
          <cell r="D106">
            <v>-35485</v>
          </cell>
        </row>
        <row r="107">
          <cell r="A107">
            <v>2609154</v>
          </cell>
          <cell r="B107" t="str">
            <v>MANARI</v>
          </cell>
          <cell r="C107">
            <v>-8703</v>
          </cell>
          <cell r="D107">
            <v>-37766</v>
          </cell>
        </row>
        <row r="108">
          <cell r="A108">
            <v>2609204</v>
          </cell>
          <cell r="B108" t="str">
            <v>MARAIAL</v>
          </cell>
          <cell r="C108">
            <v>-8822</v>
          </cell>
          <cell r="D108">
            <v>-35617</v>
          </cell>
        </row>
        <row r="109">
          <cell r="A109">
            <v>2609303</v>
          </cell>
          <cell r="B109" t="str">
            <v>MIRANDIBA</v>
          </cell>
          <cell r="C109">
            <v>-8243</v>
          </cell>
          <cell r="D109">
            <v>-38835</v>
          </cell>
        </row>
        <row r="110">
          <cell r="A110">
            <v>2614303</v>
          </cell>
          <cell r="B110" t="str">
            <v>MOREILANDIA</v>
          </cell>
          <cell r="C110">
            <v>-7632</v>
          </cell>
          <cell r="D110">
            <v>-39957</v>
          </cell>
        </row>
        <row r="111">
          <cell r="A111">
            <v>2609402</v>
          </cell>
          <cell r="B111" t="str">
            <v>MORENO</v>
          </cell>
          <cell r="C111">
            <v>-8127</v>
          </cell>
          <cell r="D111">
            <v>-35088</v>
          </cell>
        </row>
        <row r="112">
          <cell r="A112">
            <v>2609501</v>
          </cell>
          <cell r="B112" t="str">
            <v>NAZARE DA MATA</v>
          </cell>
          <cell r="C112">
            <v>-7733</v>
          </cell>
          <cell r="D112">
            <v>-35250</v>
          </cell>
        </row>
        <row r="113">
          <cell r="A113">
            <v>2609600</v>
          </cell>
          <cell r="B113" t="str">
            <v>OLINDA</v>
          </cell>
          <cell r="C113">
            <v>-8006</v>
          </cell>
          <cell r="D113">
            <v>-34858</v>
          </cell>
        </row>
        <row r="114">
          <cell r="A114">
            <v>2609709</v>
          </cell>
          <cell r="B114" t="str">
            <v>OROBO</v>
          </cell>
          <cell r="C114">
            <v>-7756</v>
          </cell>
          <cell r="D114">
            <v>-35565</v>
          </cell>
        </row>
        <row r="115">
          <cell r="A115">
            <v>2609808</v>
          </cell>
          <cell r="B115" t="str">
            <v>OROCO</v>
          </cell>
          <cell r="C115">
            <v>-8544</v>
          </cell>
          <cell r="D115">
            <v>-39882</v>
          </cell>
        </row>
        <row r="116">
          <cell r="A116">
            <v>2609907</v>
          </cell>
          <cell r="B116" t="str">
            <v>OURICURI</v>
          </cell>
          <cell r="C116">
            <v>-7886</v>
          </cell>
          <cell r="D116">
            <v>-40098</v>
          </cell>
        </row>
        <row r="117">
          <cell r="A117">
            <v>2610004</v>
          </cell>
          <cell r="B117" t="str">
            <v>PALMARES</v>
          </cell>
          <cell r="C117">
            <v>-8683</v>
          </cell>
          <cell r="D117">
            <v>-35510</v>
          </cell>
        </row>
        <row r="118">
          <cell r="A118">
            <v>2610103</v>
          </cell>
          <cell r="B118" t="str">
            <v>PALMEIRINA</v>
          </cell>
          <cell r="C118">
            <v>-9006</v>
          </cell>
          <cell r="D118">
            <v>-36012</v>
          </cell>
        </row>
        <row r="119">
          <cell r="A119">
            <v>2610202</v>
          </cell>
          <cell r="B119" t="str">
            <v>PANELAS</v>
          </cell>
          <cell r="C119">
            <v>-8665</v>
          </cell>
          <cell r="D119">
            <v>-35940</v>
          </cell>
        </row>
        <row r="120">
          <cell r="A120">
            <v>2610301</v>
          </cell>
          <cell r="B120" t="str">
            <v>PARANATAMA</v>
          </cell>
          <cell r="C120">
            <v>-8877</v>
          </cell>
          <cell r="D120">
            <v>-36634</v>
          </cell>
        </row>
        <row r="121">
          <cell r="A121">
            <v>2610400</v>
          </cell>
          <cell r="B121" t="str">
            <v>PARNAMIRIM</v>
          </cell>
          <cell r="C121">
            <v>-8081</v>
          </cell>
          <cell r="D121">
            <v>-39578</v>
          </cell>
        </row>
        <row r="122">
          <cell r="A122">
            <v>2610509</v>
          </cell>
          <cell r="B122" t="str">
            <v>PASSIRA</v>
          </cell>
          <cell r="C122">
            <v>-8077</v>
          </cell>
          <cell r="D122">
            <v>-35694</v>
          </cell>
        </row>
        <row r="123">
          <cell r="A123">
            <v>2610608</v>
          </cell>
          <cell r="B123" t="str">
            <v>PAUDALHO</v>
          </cell>
          <cell r="C123">
            <v>-7954</v>
          </cell>
          <cell r="D123">
            <v>-35195</v>
          </cell>
        </row>
        <row r="124">
          <cell r="A124">
            <v>2610707</v>
          </cell>
          <cell r="B124" t="str">
            <v>PAULISTA</v>
          </cell>
          <cell r="C124">
            <v>-7954</v>
          </cell>
          <cell r="D124">
            <v>-34871</v>
          </cell>
        </row>
        <row r="125">
          <cell r="A125">
            <v>2610806</v>
          </cell>
          <cell r="B125" t="str">
            <v>PEDRA</v>
          </cell>
          <cell r="C125">
            <v>-8411</v>
          </cell>
          <cell r="D125">
            <v>-36963</v>
          </cell>
        </row>
        <row r="126">
          <cell r="A126">
            <v>2610905</v>
          </cell>
          <cell r="B126" t="str">
            <v>PESQUEIRA</v>
          </cell>
          <cell r="C126">
            <v>-8358</v>
          </cell>
          <cell r="D126">
            <v>-36691</v>
          </cell>
        </row>
        <row r="127">
          <cell r="A127">
            <v>2611002</v>
          </cell>
          <cell r="B127" t="str">
            <v>PETROLANDIA</v>
          </cell>
          <cell r="C127">
            <v>-9186</v>
          </cell>
          <cell r="D127">
            <v>-37962</v>
          </cell>
        </row>
        <row r="128">
          <cell r="A128">
            <v>2611101</v>
          </cell>
          <cell r="B128" t="str">
            <v>PETROLINA</v>
          </cell>
          <cell r="C128">
            <v>-9397</v>
          </cell>
          <cell r="D128">
            <v>-40505</v>
          </cell>
        </row>
        <row r="129">
          <cell r="A129">
            <v>2611200</v>
          </cell>
          <cell r="B129" t="str">
            <v>POCAO</v>
          </cell>
          <cell r="C129">
            <v>-7585</v>
          </cell>
          <cell r="D129">
            <v>-37382</v>
          </cell>
        </row>
        <row r="130">
          <cell r="A130">
            <v>2611309</v>
          </cell>
          <cell r="B130" t="str">
            <v>POMBOS</v>
          </cell>
          <cell r="C130">
            <v>-8127</v>
          </cell>
          <cell r="D130">
            <v>-35434</v>
          </cell>
        </row>
        <row r="131">
          <cell r="A131">
            <v>2611408</v>
          </cell>
          <cell r="B131" t="str">
            <v>PRIMAVERA</v>
          </cell>
          <cell r="C131">
            <v>-8361</v>
          </cell>
          <cell r="D131">
            <v>-35155</v>
          </cell>
        </row>
        <row r="132">
          <cell r="A132">
            <v>2611507</v>
          </cell>
          <cell r="B132" t="str">
            <v>QUIPAPA</v>
          </cell>
          <cell r="C132">
            <v>-8822</v>
          </cell>
          <cell r="D132">
            <v>-35659</v>
          </cell>
        </row>
        <row r="133">
          <cell r="A133">
            <v>2611533</v>
          </cell>
          <cell r="B133" t="str">
            <v>QUIXABA</v>
          </cell>
          <cell r="C133">
            <v>-7797</v>
          </cell>
          <cell r="D133">
            <v>-37766</v>
          </cell>
        </row>
        <row r="134">
          <cell r="A134">
            <v>2611606</v>
          </cell>
          <cell r="B134" t="str">
            <v>RECIFE</v>
          </cell>
          <cell r="C134">
            <v>-8054</v>
          </cell>
          <cell r="D134">
            <v>-34881</v>
          </cell>
        </row>
        <row r="135">
          <cell r="A135">
            <v>2611705</v>
          </cell>
          <cell r="B135" t="str">
            <v>RIACHO DAS ALMAS</v>
          </cell>
          <cell r="C135">
            <v>-8243</v>
          </cell>
          <cell r="D135">
            <v>-35795</v>
          </cell>
        </row>
        <row r="136">
          <cell r="A136">
            <v>2611804</v>
          </cell>
          <cell r="B136" t="str">
            <v>RIBEIRAO</v>
          </cell>
          <cell r="C136">
            <v>-8513</v>
          </cell>
          <cell r="D136">
            <v>-35385</v>
          </cell>
        </row>
        <row r="137">
          <cell r="A137">
            <v>2611903</v>
          </cell>
          <cell r="B137" t="str">
            <v>RIO FORMOSO</v>
          </cell>
          <cell r="C137">
            <v>-8675</v>
          </cell>
          <cell r="D137">
            <v>-35155</v>
          </cell>
        </row>
        <row r="138">
          <cell r="A138">
            <v>2612000</v>
          </cell>
          <cell r="B138" t="str">
            <v>SAIRE</v>
          </cell>
          <cell r="C138">
            <v>-8468</v>
          </cell>
          <cell r="D138">
            <v>-35631</v>
          </cell>
        </row>
        <row r="139">
          <cell r="A139">
            <v>2612109</v>
          </cell>
          <cell r="B139" t="str">
            <v>SALGADINHO</v>
          </cell>
          <cell r="C139">
            <v>-7957</v>
          </cell>
          <cell r="D139">
            <v>-35694</v>
          </cell>
        </row>
        <row r="140">
          <cell r="A140">
            <v>2612208</v>
          </cell>
          <cell r="B140" t="str">
            <v>SALGUEIRO</v>
          </cell>
          <cell r="C140">
            <v>-8077</v>
          </cell>
          <cell r="D140">
            <v>-39112</v>
          </cell>
        </row>
        <row r="141">
          <cell r="A141">
            <v>2612307</v>
          </cell>
          <cell r="B141" t="str">
            <v>SALOA</v>
          </cell>
          <cell r="C141">
            <v>-9006</v>
          </cell>
          <cell r="D141">
            <v>-37070</v>
          </cell>
        </row>
        <row r="142">
          <cell r="A142">
            <v>2612406</v>
          </cell>
          <cell r="B142" t="str">
            <v>SANHARO</v>
          </cell>
          <cell r="C142">
            <v>-8324</v>
          </cell>
          <cell r="D142">
            <v>-36565</v>
          </cell>
        </row>
        <row r="143">
          <cell r="A143">
            <v>2612455</v>
          </cell>
          <cell r="B143" t="str">
            <v>SANTA CRUZ</v>
          </cell>
          <cell r="C143">
            <v>-7340</v>
          </cell>
          <cell r="D143">
            <v>-37214</v>
          </cell>
        </row>
        <row r="144">
          <cell r="A144">
            <v>2612471</v>
          </cell>
          <cell r="B144" t="str">
            <v>SANTA CRUZ DA BAIXA VERDE</v>
          </cell>
          <cell r="C144">
            <v>-7808</v>
          </cell>
          <cell r="D144">
            <v>-38167</v>
          </cell>
        </row>
        <row r="145">
          <cell r="A145">
            <v>2612505</v>
          </cell>
          <cell r="B145" t="str">
            <v>SANTA CRUZ DO CAPIBARIBE</v>
          </cell>
          <cell r="C145">
            <v>-7940</v>
          </cell>
          <cell r="D145">
            <v>-36273</v>
          </cell>
        </row>
        <row r="146">
          <cell r="A146">
            <v>2612554</v>
          </cell>
          <cell r="B146" t="str">
            <v>SANTA FILOMENA</v>
          </cell>
          <cell r="C146">
            <v>-8558</v>
          </cell>
          <cell r="D146">
            <v>-40612</v>
          </cell>
        </row>
        <row r="147">
          <cell r="A147">
            <v>2612604</v>
          </cell>
          <cell r="B147" t="str">
            <v>SANTA MARIA DA BOA VISTA</v>
          </cell>
          <cell r="C147">
            <v>-8809</v>
          </cell>
          <cell r="D147">
            <v>-39814</v>
          </cell>
        </row>
        <row r="148">
          <cell r="A148">
            <v>2612703</v>
          </cell>
          <cell r="B148" t="str">
            <v>SANTA MARIA DO CAMBUCA</v>
          </cell>
          <cell r="C148">
            <v>-7940</v>
          </cell>
          <cell r="D148">
            <v>-35749</v>
          </cell>
        </row>
        <row r="149">
          <cell r="A149">
            <v>2612802</v>
          </cell>
          <cell r="B149" t="str">
            <v>SANTA TEREZINHA</v>
          </cell>
          <cell r="C149">
            <v>-7340</v>
          </cell>
          <cell r="D149">
            <v>-37586</v>
          </cell>
        </row>
        <row r="150">
          <cell r="A150">
            <v>2612901</v>
          </cell>
          <cell r="B150" t="str">
            <v>SAO BENEDITO DO SUL</v>
          </cell>
          <cell r="C150">
            <v>-8847</v>
          </cell>
          <cell r="D150">
            <v>-35621</v>
          </cell>
        </row>
        <row r="151">
          <cell r="A151">
            <v>2613008</v>
          </cell>
          <cell r="B151" t="str">
            <v>SAO BENTO DO UNA</v>
          </cell>
          <cell r="C151">
            <v>-8530</v>
          </cell>
          <cell r="D151">
            <v>-36449</v>
          </cell>
        </row>
        <row r="152">
          <cell r="A152">
            <v>2613107</v>
          </cell>
          <cell r="B152" t="str">
            <v>SAO CAITANO</v>
          </cell>
          <cell r="C152">
            <v>-8324</v>
          </cell>
          <cell r="D152">
            <v>-36326</v>
          </cell>
        </row>
        <row r="153">
          <cell r="A153">
            <v>2613206</v>
          </cell>
          <cell r="B153" t="str">
            <v>SAO JOAO</v>
          </cell>
          <cell r="C153">
            <v>-8822</v>
          </cell>
          <cell r="D153">
            <v>-36315</v>
          </cell>
        </row>
        <row r="154">
          <cell r="A154">
            <v>2613305</v>
          </cell>
          <cell r="B154" t="str">
            <v>SAO JOAQUIM DO MONTE</v>
          </cell>
          <cell r="C154">
            <v>-8349</v>
          </cell>
          <cell r="D154">
            <v>-35850</v>
          </cell>
        </row>
        <row r="155">
          <cell r="A155">
            <v>2613404</v>
          </cell>
          <cell r="B155" t="str">
            <v>SAO JOSE DA COROA GRANDE</v>
          </cell>
          <cell r="C155">
            <v>-8895</v>
          </cell>
          <cell r="D155">
            <v>-35176</v>
          </cell>
        </row>
        <row r="156">
          <cell r="A156">
            <v>2613503</v>
          </cell>
          <cell r="B156" t="str">
            <v>SAO JOSE DO BELMONTE</v>
          </cell>
          <cell r="C156">
            <v>-7502</v>
          </cell>
          <cell r="D156">
            <v>-38763</v>
          </cell>
        </row>
        <row r="157">
          <cell r="A157">
            <v>2613602</v>
          </cell>
          <cell r="B157" t="str">
            <v>SAO JOSE DO EGITO</v>
          </cell>
          <cell r="C157">
            <v>-7632</v>
          </cell>
          <cell r="D157">
            <v>-37268</v>
          </cell>
        </row>
        <row r="158">
          <cell r="A158">
            <v>2613701</v>
          </cell>
          <cell r="B158" t="str">
            <v>SAO LOURENCO DA MATA</v>
          </cell>
          <cell r="C158">
            <v>-8006</v>
          </cell>
          <cell r="D158">
            <v>-35034</v>
          </cell>
        </row>
        <row r="159">
          <cell r="A159">
            <v>2613800</v>
          </cell>
          <cell r="B159" t="str">
            <v>SAO VICENTE FERRER</v>
          </cell>
          <cell r="C159">
            <v>-7712</v>
          </cell>
          <cell r="D159">
            <v>-35378</v>
          </cell>
        </row>
        <row r="160">
          <cell r="A160">
            <v>2613909</v>
          </cell>
          <cell r="B160" t="str">
            <v>SERRA TALHADA</v>
          </cell>
          <cell r="C160">
            <v>-7990</v>
          </cell>
          <cell r="D160">
            <v>-38297</v>
          </cell>
        </row>
        <row r="161">
          <cell r="A161">
            <v>2614006</v>
          </cell>
          <cell r="B161" t="str">
            <v>SERRITA</v>
          </cell>
          <cell r="C161">
            <v>-7965</v>
          </cell>
          <cell r="D161">
            <v>-39293</v>
          </cell>
        </row>
        <row r="162">
          <cell r="A162">
            <v>2614105</v>
          </cell>
          <cell r="B162" t="str">
            <v>SERTANIA</v>
          </cell>
          <cell r="C162">
            <v>-8067</v>
          </cell>
          <cell r="D162">
            <v>-37268</v>
          </cell>
        </row>
        <row r="163">
          <cell r="A163">
            <v>2614204</v>
          </cell>
          <cell r="B163" t="str">
            <v>SIRINHAEM</v>
          </cell>
          <cell r="C163">
            <v>-8586</v>
          </cell>
          <cell r="D163">
            <v>-35132</v>
          </cell>
        </row>
        <row r="164">
          <cell r="A164">
            <v>2614402</v>
          </cell>
          <cell r="B164" t="str">
            <v>SOLIDAO</v>
          </cell>
          <cell r="C164">
            <v>-7502</v>
          </cell>
          <cell r="D164">
            <v>-37691</v>
          </cell>
        </row>
        <row r="165">
          <cell r="A165">
            <v>2614501</v>
          </cell>
          <cell r="B165" t="str">
            <v>SURUBIM</v>
          </cell>
          <cell r="C165">
            <v>-7820</v>
          </cell>
          <cell r="D165">
            <v>-35750</v>
          </cell>
        </row>
        <row r="166">
          <cell r="A166">
            <v>2614600</v>
          </cell>
          <cell r="B166" t="str">
            <v>TABIRA</v>
          </cell>
          <cell r="C166">
            <v>-7585</v>
          </cell>
          <cell r="D166">
            <v>-37558</v>
          </cell>
        </row>
        <row r="167">
          <cell r="A167">
            <v>2614709</v>
          </cell>
          <cell r="B167" t="str">
            <v>TACAIMBO</v>
          </cell>
          <cell r="C167">
            <v>-8127</v>
          </cell>
          <cell r="D167">
            <v>-36148</v>
          </cell>
        </row>
        <row r="168">
          <cell r="A168">
            <v>2614808</v>
          </cell>
          <cell r="B168" t="str">
            <v>TACARATU</v>
          </cell>
          <cell r="C168">
            <v>-9006</v>
          </cell>
          <cell r="D168">
            <v>-38077</v>
          </cell>
        </row>
        <row r="169">
          <cell r="A169">
            <v>2614857</v>
          </cell>
          <cell r="B169" t="str">
            <v>TAMANDARE</v>
          </cell>
          <cell r="C169">
            <v>-8766</v>
          </cell>
          <cell r="D169">
            <v>-35176</v>
          </cell>
        </row>
        <row r="170">
          <cell r="A170">
            <v>2615003</v>
          </cell>
          <cell r="B170" t="str">
            <v>TAQUARITINGA DO NORTE</v>
          </cell>
          <cell r="C170">
            <v>-7904</v>
          </cell>
          <cell r="D170">
            <v>-36054</v>
          </cell>
        </row>
        <row r="171">
          <cell r="A171">
            <v>2615102</v>
          </cell>
          <cell r="B171" t="str">
            <v>TEREZINHA</v>
          </cell>
          <cell r="C171">
            <v>-9072</v>
          </cell>
          <cell r="D171">
            <v>-36758</v>
          </cell>
        </row>
        <row r="172">
          <cell r="A172">
            <v>2615201</v>
          </cell>
          <cell r="B172" t="str">
            <v>TERRA NOVA</v>
          </cell>
          <cell r="C172">
            <v>-7990</v>
          </cell>
          <cell r="D172">
            <v>-39385</v>
          </cell>
        </row>
        <row r="173">
          <cell r="A173">
            <v>2615300</v>
          </cell>
          <cell r="B173" t="str">
            <v>TIMBAUBA</v>
          </cell>
          <cell r="C173">
            <v>-7437</v>
          </cell>
          <cell r="D173">
            <v>-35293</v>
          </cell>
        </row>
        <row r="174">
          <cell r="A174">
            <v>2615409</v>
          </cell>
          <cell r="B174" t="str">
            <v>TORITAMA</v>
          </cell>
          <cell r="C174">
            <v>-8007</v>
          </cell>
          <cell r="D174">
            <v>-36054</v>
          </cell>
        </row>
        <row r="175">
          <cell r="A175">
            <v>2615508</v>
          </cell>
          <cell r="B175" t="str">
            <v>TRACUNHAEM</v>
          </cell>
          <cell r="C175">
            <v>-7777</v>
          </cell>
          <cell r="D175">
            <v>-35127</v>
          </cell>
        </row>
        <row r="176">
          <cell r="A176">
            <v>2615607</v>
          </cell>
          <cell r="B176" t="str">
            <v>TRINDADE</v>
          </cell>
          <cell r="C176">
            <v>-7808</v>
          </cell>
          <cell r="D176">
            <v>-40264</v>
          </cell>
        </row>
        <row r="177">
          <cell r="A177">
            <v>2615706</v>
          </cell>
          <cell r="B177" t="str">
            <v>TRIUNFO</v>
          </cell>
          <cell r="C177">
            <v>-7808</v>
          </cell>
          <cell r="D177">
            <v>-37766</v>
          </cell>
        </row>
        <row r="178">
          <cell r="A178">
            <v>2615805</v>
          </cell>
          <cell r="B178" t="str">
            <v>TUPANATINGA</v>
          </cell>
          <cell r="C178">
            <v>-8784</v>
          </cell>
          <cell r="D178">
            <v>-37382</v>
          </cell>
        </row>
        <row r="179">
          <cell r="A179">
            <v>2615904</v>
          </cell>
          <cell r="B179" t="str">
            <v>TUPARETAMA</v>
          </cell>
          <cell r="C179">
            <v>-7694</v>
          </cell>
          <cell r="D179">
            <v>-37494</v>
          </cell>
        </row>
        <row r="180">
          <cell r="A180">
            <v>2616001</v>
          </cell>
          <cell r="B180" t="str">
            <v>VENTUROSA</v>
          </cell>
          <cell r="C180">
            <v>-8558</v>
          </cell>
          <cell r="D180">
            <v>-36758</v>
          </cell>
        </row>
        <row r="181">
          <cell r="A181">
            <v>2616100</v>
          </cell>
          <cell r="B181" t="str">
            <v>VERDEJANTE</v>
          </cell>
          <cell r="C181">
            <v>-8081</v>
          </cell>
          <cell r="D181">
            <v>-39202</v>
          </cell>
        </row>
        <row r="182">
          <cell r="A182">
            <v>2616183</v>
          </cell>
          <cell r="B182" t="str">
            <v>VERTENTE DO LERIO</v>
          </cell>
          <cell r="C182">
            <v>-7990</v>
          </cell>
          <cell r="D182">
            <v>-35795</v>
          </cell>
        </row>
        <row r="183">
          <cell r="A183">
            <v>2616209</v>
          </cell>
          <cell r="B183" t="str">
            <v>VERTENTES</v>
          </cell>
          <cell r="C183">
            <v>-7904</v>
          </cell>
          <cell r="D183">
            <v>-36054</v>
          </cell>
        </row>
        <row r="184">
          <cell r="A184">
            <v>2616308</v>
          </cell>
          <cell r="B184" t="str">
            <v>VICENCIA</v>
          </cell>
          <cell r="C184">
            <v>-7707</v>
          </cell>
          <cell r="D184">
            <v>-35176</v>
          </cell>
        </row>
        <row r="185">
          <cell r="A185">
            <v>2616407</v>
          </cell>
          <cell r="B185" t="str">
            <v>VITORIA DE SANTO ANTAO</v>
          </cell>
          <cell r="C185">
            <v>-8120</v>
          </cell>
          <cell r="D185">
            <v>-35290</v>
          </cell>
        </row>
        <row r="186">
          <cell r="A186">
            <v>2616506</v>
          </cell>
          <cell r="B186" t="str">
            <v>XEXEU</v>
          </cell>
          <cell r="C186">
            <v>-8784</v>
          </cell>
          <cell r="D186">
            <v>-35460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"/>
  <sheetViews>
    <sheetView tabSelected="1" zoomScale="70" zoomScaleNormal="70" workbookViewId="0">
      <selection activeCell="F193" sqref="F193"/>
    </sheetView>
  </sheetViews>
  <sheetFormatPr defaultRowHeight="14.4" x14ac:dyDescent="0.3"/>
  <cols>
    <col min="1" max="1" width="15.5546875" bestFit="1" customWidth="1"/>
    <col min="2" max="2" width="17.77734375" style="2" bestFit="1" customWidth="1"/>
    <col min="3" max="3" width="17.77734375" style="14" customWidth="1"/>
    <col min="4" max="4" width="22.77734375" bestFit="1" customWidth="1"/>
    <col min="5" max="5" width="24.21875" style="1" bestFit="1" customWidth="1"/>
    <col min="6" max="6" width="24.21875" style="1" customWidth="1"/>
    <col min="7" max="7" width="27.88671875" style="1" customWidth="1"/>
    <col min="8" max="8" width="24.21875" style="8" customWidth="1"/>
    <col min="9" max="9" width="27" style="8" bestFit="1" customWidth="1"/>
    <col min="10" max="10" width="27" style="8" customWidth="1"/>
    <col min="11" max="11" width="24.44140625" style="10" bestFit="1" customWidth="1"/>
    <col min="12" max="12" width="25.109375" customWidth="1"/>
    <col min="13" max="14" width="8.88671875" style="3"/>
  </cols>
  <sheetData>
    <row r="1" spans="1:14" x14ac:dyDescent="0.3">
      <c r="A1" s="12" t="s">
        <v>649</v>
      </c>
      <c r="B1" s="11" t="s">
        <v>461</v>
      </c>
      <c r="C1" s="11" t="s">
        <v>655</v>
      </c>
      <c r="D1" s="6" t="s">
        <v>386</v>
      </c>
      <c r="E1" s="4" t="s">
        <v>387</v>
      </c>
      <c r="F1" s="11" t="s">
        <v>453</v>
      </c>
      <c r="G1" s="13" t="s">
        <v>468</v>
      </c>
      <c r="H1" s="4" t="s">
        <v>388</v>
      </c>
      <c r="I1" s="11" t="s">
        <v>460</v>
      </c>
      <c r="J1" s="11" t="s">
        <v>466</v>
      </c>
      <c r="K1" s="4" t="s">
        <v>451</v>
      </c>
      <c r="L1" s="15" t="s">
        <v>452</v>
      </c>
      <c r="M1" s="11" t="s">
        <v>656</v>
      </c>
      <c r="N1" s="11" t="s">
        <v>657</v>
      </c>
    </row>
    <row r="2" spans="1:14" x14ac:dyDescent="0.3">
      <c r="A2" s="6">
        <v>26</v>
      </c>
      <c r="B2" s="4">
        <v>2600054</v>
      </c>
      <c r="C2" s="4">
        <v>260005</v>
      </c>
      <c r="D2" s="3" t="s">
        <v>201</v>
      </c>
      <c r="E2" s="3" t="s">
        <v>16</v>
      </c>
      <c r="F2" s="3" t="s">
        <v>16</v>
      </c>
      <c r="G2" s="3" t="s">
        <v>469</v>
      </c>
      <c r="H2" s="7" t="s">
        <v>0</v>
      </c>
      <c r="I2" s="7" t="s">
        <v>462</v>
      </c>
      <c r="J2" s="7" t="s">
        <v>650</v>
      </c>
      <c r="K2" s="9" t="s">
        <v>9</v>
      </c>
      <c r="L2" s="16" t="s">
        <v>9</v>
      </c>
      <c r="M2" s="18">
        <f>VLOOKUP(B2,[1]Planilha1!$A:$D,3,FALSE)</f>
        <v>-7904</v>
      </c>
      <c r="N2" s="18">
        <f>VLOOKUP(B2,[1]Planilha1!$A:$D,4,FALSE)</f>
        <v>-34908</v>
      </c>
    </row>
    <row r="3" spans="1:14" x14ac:dyDescent="0.3">
      <c r="A3" s="6">
        <v>26</v>
      </c>
      <c r="B3" s="4">
        <v>2600104</v>
      </c>
      <c r="C3" s="4">
        <v>260010</v>
      </c>
      <c r="D3" s="3" t="s">
        <v>202</v>
      </c>
      <c r="E3" s="3" t="s">
        <v>17</v>
      </c>
      <c r="F3" s="3" t="s">
        <v>17</v>
      </c>
      <c r="G3" s="3" t="s">
        <v>470</v>
      </c>
      <c r="H3" s="7" t="s">
        <v>1</v>
      </c>
      <c r="I3" s="7" t="s">
        <v>464</v>
      </c>
      <c r="J3" s="7" t="s">
        <v>652</v>
      </c>
      <c r="K3" s="9" t="s">
        <v>13</v>
      </c>
      <c r="L3" s="16" t="s">
        <v>454</v>
      </c>
      <c r="M3" s="18">
        <f>VLOOKUP(B3,[1]Planilha1!$A:$D,3,FALSE)</f>
        <v>-7756</v>
      </c>
      <c r="N3" s="18">
        <f>VLOOKUP(B3,[1]Planilha1!$A:$D,4,FALSE)</f>
        <v>-37646</v>
      </c>
    </row>
    <row r="4" spans="1:14" x14ac:dyDescent="0.3">
      <c r="A4" s="6">
        <v>26</v>
      </c>
      <c r="B4" s="4">
        <v>2600203</v>
      </c>
      <c r="C4" s="4">
        <v>260020</v>
      </c>
      <c r="D4" s="3" t="s">
        <v>203</v>
      </c>
      <c r="E4" s="3" t="s">
        <v>137</v>
      </c>
      <c r="F4" s="3" t="s">
        <v>389</v>
      </c>
      <c r="G4" s="3" t="s">
        <v>471</v>
      </c>
      <c r="H4" s="7" t="s">
        <v>2</v>
      </c>
      <c r="I4" s="7" t="s">
        <v>465</v>
      </c>
      <c r="J4" s="7" t="s">
        <v>653</v>
      </c>
      <c r="K4" s="9" t="s">
        <v>3</v>
      </c>
      <c r="L4" s="16" t="s">
        <v>455</v>
      </c>
      <c r="M4" s="18">
        <f>VLOOKUP(B4,[1]Planilha1!$A:$D,3,FALSE)</f>
        <v>-8490</v>
      </c>
      <c r="N4" s="18">
        <f>VLOOKUP(B4,[1]Planilha1!$A:$D,4,FALSE)</f>
        <v>-40758</v>
      </c>
    </row>
    <row r="5" spans="1:14" x14ac:dyDescent="0.3">
      <c r="A5" s="6">
        <v>26</v>
      </c>
      <c r="B5" s="4">
        <v>2600302</v>
      </c>
      <c r="C5" s="4">
        <v>260030</v>
      </c>
      <c r="D5" s="3" t="s">
        <v>204</v>
      </c>
      <c r="E5" s="3" t="s">
        <v>18</v>
      </c>
      <c r="F5" s="3" t="s">
        <v>18</v>
      </c>
      <c r="G5" s="3" t="s">
        <v>472</v>
      </c>
      <c r="H5" s="7" t="s">
        <v>4</v>
      </c>
      <c r="I5" s="7" t="s">
        <v>463</v>
      </c>
      <c r="J5" s="7" t="s">
        <v>651</v>
      </c>
      <c r="K5" s="9" t="s">
        <v>5</v>
      </c>
      <c r="L5" s="16" t="s">
        <v>5</v>
      </c>
      <c r="M5" s="18">
        <f>VLOOKUP(B5,[1]Planilha1!$A:$D,3,FALSE)</f>
        <v>-8431</v>
      </c>
      <c r="N5" s="18">
        <f>VLOOKUP(B5,[1]Planilha1!$A:$D,4,FALSE)</f>
        <v>-35952</v>
      </c>
    </row>
    <row r="6" spans="1:14" x14ac:dyDescent="0.3">
      <c r="A6" s="6">
        <v>26</v>
      </c>
      <c r="B6" s="4">
        <v>2600401</v>
      </c>
      <c r="C6" s="4">
        <v>260040</v>
      </c>
      <c r="D6" s="3" t="s">
        <v>205</v>
      </c>
      <c r="E6" s="3" t="s">
        <v>138</v>
      </c>
      <c r="F6" s="3" t="s">
        <v>390</v>
      </c>
      <c r="G6" s="3" t="s">
        <v>473</v>
      </c>
      <c r="H6" s="7" t="s">
        <v>0</v>
      </c>
      <c r="I6" s="7" t="s">
        <v>462</v>
      </c>
      <c r="J6" s="7" t="s">
        <v>650</v>
      </c>
      <c r="K6" s="9" t="s">
        <v>6</v>
      </c>
      <c r="L6" s="16" t="s">
        <v>6</v>
      </c>
      <c r="M6" s="18">
        <f>VLOOKUP(B6,[1]Planilha1!$A:$D,3,FALSE)</f>
        <v>-8703</v>
      </c>
      <c r="N6" s="18">
        <f>VLOOKUP(B6,[1]Planilha1!$A:$D,4,FALSE)</f>
        <v>-35293</v>
      </c>
    </row>
    <row r="7" spans="1:14" x14ac:dyDescent="0.3">
      <c r="A7" s="6">
        <v>26</v>
      </c>
      <c r="B7" s="4">
        <v>2600500</v>
      </c>
      <c r="C7" s="4">
        <v>260050</v>
      </c>
      <c r="D7" s="3" t="s">
        <v>206</v>
      </c>
      <c r="E7" s="3" t="s">
        <v>139</v>
      </c>
      <c r="F7" s="3" t="s">
        <v>391</v>
      </c>
      <c r="G7" s="3" t="s">
        <v>474</v>
      </c>
      <c r="H7" s="7" t="s">
        <v>4</v>
      </c>
      <c r="I7" s="7" t="s">
        <v>463</v>
      </c>
      <c r="J7" s="7" t="s">
        <v>651</v>
      </c>
      <c r="K7" s="9" t="s">
        <v>7</v>
      </c>
      <c r="L7" s="16" t="s">
        <v>7</v>
      </c>
      <c r="M7" s="18">
        <f>VLOOKUP(B7,[1]Planilha1!$A:$D,3,FALSE)</f>
        <v>-9112</v>
      </c>
      <c r="N7" s="18">
        <f>VLOOKUP(B7,[1]Planilha1!$A:$D,4,FALSE)</f>
        <v>-37108</v>
      </c>
    </row>
    <row r="8" spans="1:14" x14ac:dyDescent="0.3">
      <c r="A8" s="6">
        <v>26</v>
      </c>
      <c r="B8" s="4">
        <v>2600609</v>
      </c>
      <c r="C8" s="4">
        <v>260060</v>
      </c>
      <c r="D8" s="3" t="s">
        <v>207</v>
      </c>
      <c r="E8" s="3" t="s">
        <v>19</v>
      </c>
      <c r="F8" s="3" t="s">
        <v>19</v>
      </c>
      <c r="G8" s="3" t="s">
        <v>475</v>
      </c>
      <c r="H8" s="7" t="s">
        <v>4</v>
      </c>
      <c r="I8" s="7" t="s">
        <v>463</v>
      </c>
      <c r="J8" s="7" t="s">
        <v>651</v>
      </c>
      <c r="K8" s="9" t="s">
        <v>5</v>
      </c>
      <c r="L8" s="16" t="s">
        <v>5</v>
      </c>
      <c r="M8" s="18">
        <f>VLOOKUP(B8,[1]Planilha1!$A:$D,3,FALSE)</f>
        <v>-8472</v>
      </c>
      <c r="N8" s="18">
        <f>VLOOKUP(B8,[1]Planilha1!$A:$D,4,FALSE)</f>
        <v>-36772</v>
      </c>
    </row>
    <row r="9" spans="1:14" x14ac:dyDescent="0.3">
      <c r="A9" s="6">
        <v>26</v>
      </c>
      <c r="B9" s="4">
        <v>2600708</v>
      </c>
      <c r="C9" s="4">
        <v>260070</v>
      </c>
      <c r="D9" s="3" t="s">
        <v>208</v>
      </c>
      <c r="E9" s="3" t="s">
        <v>140</v>
      </c>
      <c r="F9" s="3" t="s">
        <v>392</v>
      </c>
      <c r="G9" s="3" t="s">
        <v>476</v>
      </c>
      <c r="H9" s="7" t="s">
        <v>0</v>
      </c>
      <c r="I9" s="7" t="s">
        <v>462</v>
      </c>
      <c r="J9" s="7" t="s">
        <v>650</v>
      </c>
      <c r="K9" s="9" t="s">
        <v>8</v>
      </c>
      <c r="L9" s="16" t="s">
        <v>8</v>
      </c>
      <c r="M9" s="18">
        <f>VLOOKUP(B9,[1]Planilha1!$A:$D,3,FALSE)</f>
        <v>-7592</v>
      </c>
      <c r="N9" s="18">
        <f>VLOOKUP(B9,[1]Planilha1!$A:$D,4,FALSE)</f>
        <v>-35234</v>
      </c>
    </row>
    <row r="10" spans="1:14" x14ac:dyDescent="0.3">
      <c r="A10" s="6">
        <v>26</v>
      </c>
      <c r="B10" s="4">
        <v>2600807</v>
      </c>
      <c r="C10" s="4">
        <v>260080</v>
      </c>
      <c r="D10" s="3" t="s">
        <v>209</v>
      </c>
      <c r="E10" s="3" t="s">
        <v>20</v>
      </c>
      <c r="F10" s="3" t="s">
        <v>20</v>
      </c>
      <c r="G10" s="3" t="s">
        <v>477</v>
      </c>
      <c r="H10" s="7" t="s">
        <v>4</v>
      </c>
      <c r="I10" s="7" t="s">
        <v>463</v>
      </c>
      <c r="J10" s="7" t="s">
        <v>651</v>
      </c>
      <c r="K10" s="9" t="s">
        <v>5</v>
      </c>
      <c r="L10" s="16" t="s">
        <v>5</v>
      </c>
      <c r="M10" s="18">
        <f>VLOOKUP(B10,[1]Planilha1!$A:$D,3,FALSE)</f>
        <v>-8487</v>
      </c>
      <c r="N10" s="18">
        <f>VLOOKUP(B10,[1]Planilha1!$A:$D,4,FALSE)</f>
        <v>-36273</v>
      </c>
    </row>
    <row r="11" spans="1:14" x14ac:dyDescent="0.3">
      <c r="A11" s="6">
        <v>26</v>
      </c>
      <c r="B11" s="4">
        <v>2600906</v>
      </c>
      <c r="C11" s="4">
        <v>260090</v>
      </c>
      <c r="D11" s="3" t="s">
        <v>210</v>
      </c>
      <c r="E11" s="3" t="s">
        <v>21</v>
      </c>
      <c r="F11" s="3" t="s">
        <v>21</v>
      </c>
      <c r="G11" s="3" t="s">
        <v>478</v>
      </c>
      <c r="H11" s="7" t="s">
        <v>0</v>
      </c>
      <c r="I11" s="7" t="s">
        <v>462</v>
      </c>
      <c r="J11" s="7" t="s">
        <v>650</v>
      </c>
      <c r="K11" s="9" t="s">
        <v>6</v>
      </c>
      <c r="L11" s="16" t="s">
        <v>6</v>
      </c>
      <c r="M11" s="18">
        <f>VLOOKUP(B11,[1]Planilha1!$A:$D,3,FALSE)</f>
        <v>-8384</v>
      </c>
      <c r="N11" s="18">
        <f>VLOOKUP(B11,[1]Planilha1!$A:$D,4,FALSE)</f>
        <v>-35459</v>
      </c>
    </row>
    <row r="12" spans="1:14" x14ac:dyDescent="0.3">
      <c r="A12" s="6">
        <v>26</v>
      </c>
      <c r="B12" s="4">
        <v>2601003</v>
      </c>
      <c r="C12" s="4">
        <v>260100</v>
      </c>
      <c r="D12" s="3" t="s">
        <v>211</v>
      </c>
      <c r="E12" s="3" t="s">
        <v>22</v>
      </c>
      <c r="F12" s="3" t="s">
        <v>22</v>
      </c>
      <c r="G12" s="3" t="s">
        <v>479</v>
      </c>
      <c r="H12" s="7" t="s">
        <v>4</v>
      </c>
      <c r="I12" s="7" t="s">
        <v>463</v>
      </c>
      <c r="J12" s="7" t="s">
        <v>651</v>
      </c>
      <c r="K12" s="9" t="s">
        <v>7</v>
      </c>
      <c r="L12" s="16" t="s">
        <v>7</v>
      </c>
      <c r="M12" s="18">
        <f>VLOOKUP(B12,[1]Planilha1!$A:$D,3,FALSE)</f>
        <v>-9006</v>
      </c>
      <c r="N12" s="18">
        <f>VLOOKUP(B12,[1]Planilha1!$A:$D,4,FALSE)</f>
        <v>-37604</v>
      </c>
    </row>
    <row r="13" spans="1:14" x14ac:dyDescent="0.3">
      <c r="A13" s="6">
        <v>26</v>
      </c>
      <c r="B13" s="4">
        <v>2601052</v>
      </c>
      <c r="C13" s="4">
        <v>260105</v>
      </c>
      <c r="D13" s="3" t="s">
        <v>212</v>
      </c>
      <c r="E13" s="3" t="s">
        <v>141</v>
      </c>
      <c r="F13" s="3" t="s">
        <v>393</v>
      </c>
      <c r="G13" s="3" t="s">
        <v>480</v>
      </c>
      <c r="H13" s="7" t="s">
        <v>0</v>
      </c>
      <c r="I13" s="7" t="s">
        <v>462</v>
      </c>
      <c r="J13" s="7" t="s">
        <v>650</v>
      </c>
      <c r="K13" s="9" t="s">
        <v>9</v>
      </c>
      <c r="L13" s="16" t="s">
        <v>9</v>
      </c>
      <c r="M13" s="18">
        <f>VLOOKUP(B13,[1]Planilha1!$A:$D,3,FALSE)</f>
        <v>-7785</v>
      </c>
      <c r="N13" s="18">
        <f>VLOOKUP(B13,[1]Planilha1!$A:$D,4,FALSE)</f>
        <v>-35050</v>
      </c>
    </row>
    <row r="14" spans="1:14" x14ac:dyDescent="0.3">
      <c r="A14" s="6">
        <v>26</v>
      </c>
      <c r="B14" s="4">
        <v>2601102</v>
      </c>
      <c r="C14" s="4">
        <v>260110</v>
      </c>
      <c r="D14" s="3" t="s">
        <v>213</v>
      </c>
      <c r="E14" s="3" t="s">
        <v>23</v>
      </c>
      <c r="F14" s="3" t="s">
        <v>23</v>
      </c>
      <c r="G14" s="3" t="s">
        <v>481</v>
      </c>
      <c r="H14" s="7" t="s">
        <v>2</v>
      </c>
      <c r="I14" s="7" t="s">
        <v>465</v>
      </c>
      <c r="J14" s="7" t="s">
        <v>653</v>
      </c>
      <c r="K14" s="9" t="s">
        <v>12</v>
      </c>
      <c r="L14" s="16" t="s">
        <v>456</v>
      </c>
      <c r="M14" s="18">
        <f>VLOOKUP(B14,[1]Planilha1!$A:$D,3,FALSE)</f>
        <v>-7551</v>
      </c>
      <c r="N14" s="18">
        <f>VLOOKUP(B14,[1]Planilha1!$A:$D,4,FALSE)</f>
        <v>-40498</v>
      </c>
    </row>
    <row r="15" spans="1:14" x14ac:dyDescent="0.3">
      <c r="A15" s="6">
        <v>26</v>
      </c>
      <c r="B15" s="4">
        <v>2601201</v>
      </c>
      <c r="C15" s="4">
        <v>260120</v>
      </c>
      <c r="D15" s="3" t="s">
        <v>214</v>
      </c>
      <c r="E15" s="3" t="s">
        <v>24</v>
      </c>
      <c r="F15" s="3" t="s">
        <v>24</v>
      </c>
      <c r="G15" s="3" t="s">
        <v>482</v>
      </c>
      <c r="H15" s="7" t="s">
        <v>1</v>
      </c>
      <c r="I15" s="7" t="s">
        <v>464</v>
      </c>
      <c r="J15" s="7" t="s">
        <v>652</v>
      </c>
      <c r="K15" s="9" t="s">
        <v>11</v>
      </c>
      <c r="L15" s="16" t="s">
        <v>459</v>
      </c>
      <c r="M15" s="18">
        <f>VLOOKUP(B15,[1]Planilha1!$A:$D,3,FALSE)</f>
        <v>-8419</v>
      </c>
      <c r="N15" s="18">
        <f>VLOOKUP(B15,[1]Planilha1!$A:$D,4,FALSE)</f>
        <v>-37054</v>
      </c>
    </row>
    <row r="16" spans="1:14" x14ac:dyDescent="0.3">
      <c r="A16" s="6">
        <v>26</v>
      </c>
      <c r="B16" s="4">
        <v>2601300</v>
      </c>
      <c r="C16" s="4">
        <v>260130</v>
      </c>
      <c r="D16" s="3" t="s">
        <v>215</v>
      </c>
      <c r="E16" s="3" t="s">
        <v>25</v>
      </c>
      <c r="F16" s="3" t="s">
        <v>25</v>
      </c>
      <c r="G16" s="3" t="s">
        <v>483</v>
      </c>
      <c r="H16" s="7" t="s">
        <v>4</v>
      </c>
      <c r="I16" s="7" t="s">
        <v>463</v>
      </c>
      <c r="J16" s="7" t="s">
        <v>651</v>
      </c>
      <c r="K16" s="9" t="s">
        <v>5</v>
      </c>
      <c r="L16" s="16" t="s">
        <v>5</v>
      </c>
      <c r="M16" s="18">
        <f>VLOOKUP(B16,[1]Planilha1!$A:$D,3,FALSE)</f>
        <v>-8411</v>
      </c>
      <c r="N16" s="18">
        <f>VLOOKUP(B16,[1]Planilha1!$A:$D,4,FALSE)</f>
        <v>-35631</v>
      </c>
    </row>
    <row r="17" spans="1:14" x14ac:dyDescent="0.3">
      <c r="A17" s="6">
        <v>26</v>
      </c>
      <c r="B17" s="4">
        <v>2601409</v>
      </c>
      <c r="C17" s="4">
        <v>260140</v>
      </c>
      <c r="D17" s="3" t="s">
        <v>216</v>
      </c>
      <c r="E17" s="3" t="s">
        <v>26</v>
      </c>
      <c r="F17" s="3" t="s">
        <v>26</v>
      </c>
      <c r="G17" s="3" t="s">
        <v>484</v>
      </c>
      <c r="H17" s="7" t="s">
        <v>0</v>
      </c>
      <c r="I17" s="7" t="s">
        <v>462</v>
      </c>
      <c r="J17" s="7" t="s">
        <v>650</v>
      </c>
      <c r="K17" s="9" t="s">
        <v>6</v>
      </c>
      <c r="L17" s="16" t="s">
        <v>6</v>
      </c>
      <c r="M17" s="18">
        <f>VLOOKUP(B17,[1]Planilha1!$A:$D,3,FALSE)</f>
        <v>-8784</v>
      </c>
      <c r="N17" s="18">
        <f>VLOOKUP(B17,[1]Planilha1!$A:$D,4,FALSE)</f>
        <v>-35176</v>
      </c>
    </row>
    <row r="18" spans="1:14" x14ac:dyDescent="0.3">
      <c r="A18" s="6">
        <v>26</v>
      </c>
      <c r="B18" s="4">
        <v>2601508</v>
      </c>
      <c r="C18" s="4">
        <v>260150</v>
      </c>
      <c r="D18" s="3" t="s">
        <v>217</v>
      </c>
      <c r="E18" s="3" t="s">
        <v>142</v>
      </c>
      <c r="F18" s="3" t="s">
        <v>394</v>
      </c>
      <c r="G18" s="3" t="s">
        <v>485</v>
      </c>
      <c r="H18" s="7" t="s">
        <v>0</v>
      </c>
      <c r="I18" s="7" t="s">
        <v>462</v>
      </c>
      <c r="J18" s="7" t="s">
        <v>650</v>
      </c>
      <c r="K18" s="9" t="s">
        <v>6</v>
      </c>
      <c r="L18" s="16" t="s">
        <v>6</v>
      </c>
      <c r="M18" s="18">
        <f>VLOOKUP(B18,[1]Planilha1!$A:$D,3,FALSE)</f>
        <v>-8675</v>
      </c>
      <c r="N18" s="18">
        <f>VLOOKUP(B18,[1]Planilha1!$A:$D,4,FALSE)</f>
        <v>-35617</v>
      </c>
    </row>
    <row r="19" spans="1:14" s="1" customFormat="1" x14ac:dyDescent="0.3">
      <c r="A19" s="6">
        <v>26</v>
      </c>
      <c r="B19" s="4">
        <v>2601607</v>
      </c>
      <c r="C19" s="4">
        <v>260160</v>
      </c>
      <c r="D19" s="5" t="s">
        <v>385</v>
      </c>
      <c r="E19" s="5" t="s">
        <v>143</v>
      </c>
      <c r="F19" s="5" t="s">
        <v>395</v>
      </c>
      <c r="G19" s="3" t="s">
        <v>486</v>
      </c>
      <c r="H19" s="7" t="s">
        <v>2</v>
      </c>
      <c r="I19" s="7" t="s">
        <v>465</v>
      </c>
      <c r="J19" s="7" t="s">
        <v>653</v>
      </c>
      <c r="K19" s="7" t="s">
        <v>10</v>
      </c>
      <c r="L19" s="17" t="s">
        <v>457</v>
      </c>
      <c r="M19" s="18">
        <f>VLOOKUP(B19,[1]Planilha1!$A:$D,3,FALSE)</f>
        <v>-8761</v>
      </c>
      <c r="N19" s="18">
        <f>VLOOKUP(B19,[1]Planilha1!$A:$D,4,FALSE)</f>
        <v>-39020</v>
      </c>
    </row>
    <row r="20" spans="1:14" x14ac:dyDescent="0.3">
      <c r="A20" s="6">
        <v>26</v>
      </c>
      <c r="B20" s="4">
        <v>2601706</v>
      </c>
      <c r="C20" s="4">
        <v>260170</v>
      </c>
      <c r="D20" s="3" t="s">
        <v>218</v>
      </c>
      <c r="E20" s="3" t="s">
        <v>27</v>
      </c>
      <c r="F20" s="3" t="s">
        <v>27</v>
      </c>
      <c r="G20" s="3" t="s">
        <v>487</v>
      </c>
      <c r="H20" s="7" t="s">
        <v>4</v>
      </c>
      <c r="I20" s="7" t="s">
        <v>463</v>
      </c>
      <c r="J20" s="7" t="s">
        <v>651</v>
      </c>
      <c r="K20" s="9" t="s">
        <v>5</v>
      </c>
      <c r="L20" s="16" t="s">
        <v>5</v>
      </c>
      <c r="M20" s="18">
        <f>VLOOKUP(B20,[1]Planilha1!$A:$D,3,FALSE)</f>
        <v>-8337</v>
      </c>
      <c r="N20" s="18">
        <f>VLOOKUP(B20,[1]Planilha1!$A:$D,4,FALSE)</f>
        <v>-36438</v>
      </c>
    </row>
    <row r="21" spans="1:14" x14ac:dyDescent="0.3">
      <c r="A21" s="6">
        <v>26</v>
      </c>
      <c r="B21" s="4">
        <v>2601805</v>
      </c>
      <c r="C21" s="4">
        <v>260180</v>
      </c>
      <c r="D21" s="3" t="s">
        <v>219</v>
      </c>
      <c r="E21" s="3" t="s">
        <v>144</v>
      </c>
      <c r="F21" s="3" t="s">
        <v>396</v>
      </c>
      <c r="G21" s="3" t="s">
        <v>488</v>
      </c>
      <c r="H21" s="7" t="s">
        <v>1</v>
      </c>
      <c r="I21" s="7" t="s">
        <v>464</v>
      </c>
      <c r="J21" s="7" t="s">
        <v>652</v>
      </c>
      <c r="K21" s="9" t="s">
        <v>11</v>
      </c>
      <c r="L21" s="16" t="s">
        <v>459</v>
      </c>
      <c r="M21" s="18">
        <f>VLOOKUP(B21,[1]Planilha1!$A:$D,3,FALSE)</f>
        <v>-8291</v>
      </c>
      <c r="N21" s="18">
        <f>VLOOKUP(B21,[1]Planilha1!$A:$D,4,FALSE)</f>
        <v>-38077</v>
      </c>
    </row>
    <row r="22" spans="1:14" x14ac:dyDescent="0.3">
      <c r="A22" s="6">
        <v>26</v>
      </c>
      <c r="B22" s="4">
        <v>2601904</v>
      </c>
      <c r="C22" s="4">
        <v>260190</v>
      </c>
      <c r="D22" s="3" t="s">
        <v>220</v>
      </c>
      <c r="E22" s="3" t="s">
        <v>28</v>
      </c>
      <c r="F22" s="3" t="s">
        <v>28</v>
      </c>
      <c r="G22" s="3" t="s">
        <v>489</v>
      </c>
      <c r="H22" s="7" t="s">
        <v>4</v>
      </c>
      <c r="I22" s="7" t="s">
        <v>463</v>
      </c>
      <c r="J22" s="7" t="s">
        <v>651</v>
      </c>
      <c r="K22" s="9" t="s">
        <v>5</v>
      </c>
      <c r="L22" s="16" t="s">
        <v>5</v>
      </c>
      <c r="M22" s="18">
        <f>VLOOKUP(B22,[1]Planilha1!$A:$D,3,FALSE)</f>
        <v>-8257</v>
      </c>
      <c r="N22" s="18">
        <f>VLOOKUP(B22,[1]Planilha1!$A:$D,4,FALSE)</f>
        <v>-35795</v>
      </c>
    </row>
    <row r="23" spans="1:14" x14ac:dyDescent="0.3">
      <c r="A23" s="6">
        <v>26</v>
      </c>
      <c r="B23" s="4">
        <v>2602001</v>
      </c>
      <c r="C23" s="4">
        <v>260200</v>
      </c>
      <c r="D23" s="3" t="s">
        <v>221</v>
      </c>
      <c r="E23" s="3" t="s">
        <v>145</v>
      </c>
      <c r="F23" s="3" t="s">
        <v>397</v>
      </c>
      <c r="G23" s="3" t="s">
        <v>490</v>
      </c>
      <c r="H23" s="7" t="s">
        <v>2</v>
      </c>
      <c r="I23" s="7" t="s">
        <v>465</v>
      </c>
      <c r="J23" s="7" t="s">
        <v>653</v>
      </c>
      <c r="K23" s="9" t="s">
        <v>12</v>
      </c>
      <c r="L23" s="16" t="s">
        <v>456</v>
      </c>
      <c r="M23" s="18">
        <f>VLOOKUP(B23,[1]Planilha1!$A:$D,3,FALSE)</f>
        <v>-7785</v>
      </c>
      <c r="N23" s="18">
        <f>VLOOKUP(B23,[1]Planilha1!$A:$D,4,FALSE)</f>
        <v>-39932</v>
      </c>
    </row>
    <row r="24" spans="1:14" x14ac:dyDescent="0.3">
      <c r="A24" s="6">
        <v>26</v>
      </c>
      <c r="B24" s="4">
        <v>2602100</v>
      </c>
      <c r="C24" s="4">
        <v>260210</v>
      </c>
      <c r="D24" s="3" t="s">
        <v>222</v>
      </c>
      <c r="E24" s="3" t="s">
        <v>29</v>
      </c>
      <c r="F24" s="3" t="s">
        <v>29</v>
      </c>
      <c r="G24" s="3" t="s">
        <v>491</v>
      </c>
      <c r="H24" s="7" t="s">
        <v>4</v>
      </c>
      <c r="I24" s="7" t="s">
        <v>463</v>
      </c>
      <c r="J24" s="7" t="s">
        <v>651</v>
      </c>
      <c r="K24" s="9" t="s">
        <v>7</v>
      </c>
      <c r="L24" s="16" t="s">
        <v>7</v>
      </c>
      <c r="M24" s="18">
        <f>VLOOKUP(B24,[1]Planilha1!$A:$D,3,FALSE)</f>
        <v>-9186</v>
      </c>
      <c r="N24" s="18">
        <f>VLOOKUP(B24,[1]Planilha1!$A:$D,4,FALSE)</f>
        <v>-36758</v>
      </c>
    </row>
    <row r="25" spans="1:14" x14ac:dyDescent="0.3">
      <c r="A25" s="6">
        <v>26</v>
      </c>
      <c r="B25" s="4">
        <v>2602209</v>
      </c>
      <c r="C25" s="4">
        <v>260220</v>
      </c>
      <c r="D25" s="3" t="s">
        <v>223</v>
      </c>
      <c r="E25" s="3" t="s">
        <v>30</v>
      </c>
      <c r="F25" s="3" t="s">
        <v>30</v>
      </c>
      <c r="G25" s="3" t="s">
        <v>492</v>
      </c>
      <c r="H25" s="7" t="s">
        <v>0</v>
      </c>
      <c r="I25" s="7" t="s">
        <v>462</v>
      </c>
      <c r="J25" s="7" t="s">
        <v>650</v>
      </c>
      <c r="K25" s="9" t="s">
        <v>14</v>
      </c>
      <c r="L25" s="16" t="s">
        <v>14</v>
      </c>
      <c r="M25" s="18">
        <f>VLOOKUP(B25,[1]Planilha1!$A:$D,3,FALSE)</f>
        <v>-7778</v>
      </c>
      <c r="N25" s="18">
        <f>VLOOKUP(B25,[1]Planilha1!$A:$D,4,FALSE)</f>
        <v>-35590</v>
      </c>
    </row>
    <row r="26" spans="1:14" x14ac:dyDescent="0.3">
      <c r="A26" s="6">
        <v>26</v>
      </c>
      <c r="B26" s="4">
        <v>2602308</v>
      </c>
      <c r="C26" s="4">
        <v>260230</v>
      </c>
      <c r="D26" s="3" t="s">
        <v>224</v>
      </c>
      <c r="E26" s="3" t="s">
        <v>31</v>
      </c>
      <c r="F26" s="3" t="s">
        <v>31</v>
      </c>
      <c r="G26" s="3" t="s">
        <v>493</v>
      </c>
      <c r="H26" s="7" t="s">
        <v>4</v>
      </c>
      <c r="I26" s="7" t="s">
        <v>463</v>
      </c>
      <c r="J26" s="7" t="s">
        <v>651</v>
      </c>
      <c r="K26" s="9" t="s">
        <v>5</v>
      </c>
      <c r="L26" s="16" t="s">
        <v>5</v>
      </c>
      <c r="M26" s="18">
        <f>VLOOKUP(B26,[1]Planilha1!$A:$D,3,FALSE)</f>
        <v>-8468</v>
      </c>
      <c r="N26" s="18">
        <f>VLOOKUP(B26,[1]Planilha1!$A:$D,4,FALSE)</f>
        <v>-35748</v>
      </c>
    </row>
    <row r="27" spans="1:14" x14ac:dyDescent="0.3">
      <c r="A27" s="6">
        <v>26</v>
      </c>
      <c r="B27" s="4">
        <v>2602407</v>
      </c>
      <c r="C27" s="4">
        <v>260240</v>
      </c>
      <c r="D27" s="3" t="s">
        <v>225</v>
      </c>
      <c r="E27" s="3" t="s">
        <v>146</v>
      </c>
      <c r="F27" s="3" t="s">
        <v>398</v>
      </c>
      <c r="G27" s="3" t="s">
        <v>494</v>
      </c>
      <c r="H27" s="7" t="s">
        <v>4</v>
      </c>
      <c r="I27" s="7" t="s">
        <v>463</v>
      </c>
      <c r="J27" s="7" t="s">
        <v>651</v>
      </c>
      <c r="K27" s="9" t="s">
        <v>7</v>
      </c>
      <c r="L27" s="16" t="s">
        <v>7</v>
      </c>
      <c r="M27" s="18">
        <f>VLOOKUP(B27,[1]Planilha1!$A:$D,3,FALSE)</f>
        <v>-9028</v>
      </c>
      <c r="N27" s="18">
        <f>VLOOKUP(B27,[1]Planilha1!$A:$D,4,FALSE)</f>
        <v>-36471</v>
      </c>
    </row>
    <row r="28" spans="1:14" x14ac:dyDescent="0.3">
      <c r="A28" s="6">
        <v>26</v>
      </c>
      <c r="B28" s="4">
        <v>2602506</v>
      </c>
      <c r="C28" s="4">
        <v>260250</v>
      </c>
      <c r="D28" s="3" t="s">
        <v>226</v>
      </c>
      <c r="E28" s="3" t="s">
        <v>32</v>
      </c>
      <c r="F28" s="3" t="s">
        <v>32</v>
      </c>
      <c r="G28" s="3" t="s">
        <v>495</v>
      </c>
      <c r="H28" s="7" t="s">
        <v>1</v>
      </c>
      <c r="I28" s="7" t="s">
        <v>464</v>
      </c>
      <c r="J28" s="7" t="s">
        <v>652</v>
      </c>
      <c r="K28" s="9" t="s">
        <v>13</v>
      </c>
      <c r="L28" s="16" t="s">
        <v>454</v>
      </c>
      <c r="M28" s="18">
        <f>VLOOKUP(B28,[1]Planilha1!$A:$D,3,FALSE)</f>
        <v>-7340</v>
      </c>
      <c r="N28" s="18">
        <f>VLOOKUP(B28,[1]Planilha1!$A:$D,4,FALSE)</f>
        <v>-37382</v>
      </c>
    </row>
    <row r="29" spans="1:14" x14ac:dyDescent="0.3">
      <c r="A29" s="6">
        <v>26</v>
      </c>
      <c r="B29" s="4">
        <v>2602605</v>
      </c>
      <c r="C29" s="4">
        <v>260260</v>
      </c>
      <c r="D29" s="3" t="s">
        <v>227</v>
      </c>
      <c r="E29" s="3" t="s">
        <v>33</v>
      </c>
      <c r="F29" s="3" t="s">
        <v>33</v>
      </c>
      <c r="G29" s="3" t="s">
        <v>496</v>
      </c>
      <c r="H29" s="7" t="s">
        <v>4</v>
      </c>
      <c r="I29" s="7" t="s">
        <v>463</v>
      </c>
      <c r="J29" s="7" t="s">
        <v>651</v>
      </c>
      <c r="K29" s="9" t="s">
        <v>5</v>
      </c>
      <c r="L29" s="16" t="s">
        <v>5</v>
      </c>
      <c r="M29" s="18">
        <f>VLOOKUP(B29,[1]Planilha1!$A:$D,3,FALSE)</f>
        <v>-8156</v>
      </c>
      <c r="N29" s="18">
        <f>VLOOKUP(B29,[1]Planilha1!$A:$D,4,FALSE)</f>
        <v>-36372</v>
      </c>
    </row>
    <row r="30" spans="1:14" x14ac:dyDescent="0.3">
      <c r="A30" s="6">
        <v>26</v>
      </c>
      <c r="B30" s="4">
        <v>2602704</v>
      </c>
      <c r="C30" s="4">
        <v>260270</v>
      </c>
      <c r="D30" s="3" t="s">
        <v>228</v>
      </c>
      <c r="E30" s="3" t="s">
        <v>34</v>
      </c>
      <c r="F30" s="3" t="s">
        <v>34</v>
      </c>
      <c r="G30" s="3" t="s">
        <v>497</v>
      </c>
      <c r="H30" s="7" t="s">
        <v>0</v>
      </c>
      <c r="I30" s="7" t="s">
        <v>462</v>
      </c>
      <c r="J30" s="7" t="s">
        <v>650</v>
      </c>
      <c r="K30" s="9" t="s">
        <v>8</v>
      </c>
      <c r="L30" s="16" t="s">
        <v>8</v>
      </c>
      <c r="M30" s="18">
        <f>VLOOKUP(B30,[1]Planilha1!$A:$D,3,FALSE)</f>
        <v>-7694</v>
      </c>
      <c r="N30" s="18">
        <f>VLOOKUP(B30,[1]Planilha1!$A:$D,4,FALSE)</f>
        <v>-35340</v>
      </c>
    </row>
    <row r="31" spans="1:14" x14ac:dyDescent="0.3">
      <c r="A31" s="6">
        <v>26</v>
      </c>
      <c r="B31" s="4">
        <v>2602803</v>
      </c>
      <c r="C31" s="4">
        <v>260280</v>
      </c>
      <c r="D31" s="3" t="s">
        <v>229</v>
      </c>
      <c r="E31" s="3" t="s">
        <v>147</v>
      </c>
      <c r="F31" s="3" t="s">
        <v>399</v>
      </c>
      <c r="G31" s="3" t="s">
        <v>498</v>
      </c>
      <c r="H31" s="7" t="s">
        <v>1</v>
      </c>
      <c r="I31" s="7" t="s">
        <v>464</v>
      </c>
      <c r="J31" s="7" t="s">
        <v>652</v>
      </c>
      <c r="K31" s="9" t="s">
        <v>7</v>
      </c>
      <c r="L31" s="16" t="s">
        <v>7</v>
      </c>
      <c r="M31" s="18">
        <f>VLOOKUP(B31,[1]Planilha1!$A:$D,3,FALSE)</f>
        <v>-8471</v>
      </c>
      <c r="N31" s="18">
        <f>VLOOKUP(B31,[1]Planilha1!$A:$D,4,FALSE)</f>
        <v>-37165</v>
      </c>
    </row>
    <row r="32" spans="1:14" x14ac:dyDescent="0.3">
      <c r="A32" s="6">
        <v>26</v>
      </c>
      <c r="B32" s="4">
        <v>2602902</v>
      </c>
      <c r="C32" s="4">
        <v>260290</v>
      </c>
      <c r="D32" s="3" t="s">
        <v>230</v>
      </c>
      <c r="E32" s="3" t="s">
        <v>35</v>
      </c>
      <c r="F32" s="3" t="s">
        <v>35</v>
      </c>
      <c r="G32" s="3" t="s">
        <v>499</v>
      </c>
      <c r="H32" s="7" t="s">
        <v>0</v>
      </c>
      <c r="I32" s="7" t="s">
        <v>462</v>
      </c>
      <c r="J32" s="7" t="s">
        <v>650</v>
      </c>
      <c r="K32" s="9" t="s">
        <v>9</v>
      </c>
      <c r="L32" s="16" t="s">
        <v>9</v>
      </c>
      <c r="M32" s="18">
        <f>VLOOKUP(B32,[1]Planilha1!$A:$D,3,FALSE)</f>
        <v>-8286</v>
      </c>
      <c r="N32" s="18">
        <f>VLOOKUP(B32,[1]Planilha1!$A:$D,4,FALSE)</f>
        <v>-35034</v>
      </c>
    </row>
    <row r="33" spans="1:14" x14ac:dyDescent="0.3">
      <c r="A33" s="6">
        <v>26</v>
      </c>
      <c r="B33" s="4">
        <v>2603009</v>
      </c>
      <c r="C33" s="4">
        <v>260300</v>
      </c>
      <c r="D33" s="3" t="s">
        <v>231</v>
      </c>
      <c r="E33" s="3" t="s">
        <v>148</v>
      </c>
      <c r="F33" s="3" t="s">
        <v>400</v>
      </c>
      <c r="G33" s="3" t="s">
        <v>500</v>
      </c>
      <c r="H33" s="7" t="s">
        <v>2</v>
      </c>
      <c r="I33" s="7" t="s">
        <v>465</v>
      </c>
      <c r="J33" s="7" t="s">
        <v>653</v>
      </c>
      <c r="K33" s="9" t="s">
        <v>3</v>
      </c>
      <c r="L33" s="16" t="s">
        <v>455</v>
      </c>
      <c r="M33" s="18">
        <f>VLOOKUP(B33,[1]Planilha1!$A:$D,3,FALSE)</f>
        <v>-8490</v>
      </c>
      <c r="N33" s="18">
        <f>VLOOKUP(B33,[1]Planilha1!$A:$D,4,FALSE)</f>
        <v>-39308</v>
      </c>
    </row>
    <row r="34" spans="1:14" x14ac:dyDescent="0.3">
      <c r="A34" s="6">
        <v>26</v>
      </c>
      <c r="B34" s="4">
        <v>2603108</v>
      </c>
      <c r="C34" s="4">
        <v>260310</v>
      </c>
      <c r="D34" s="3" t="s">
        <v>232</v>
      </c>
      <c r="E34" s="3" t="s">
        <v>36</v>
      </c>
      <c r="F34" s="3" t="s">
        <v>36</v>
      </c>
      <c r="G34" s="3" t="s">
        <v>501</v>
      </c>
      <c r="H34" s="7" t="s">
        <v>4</v>
      </c>
      <c r="I34" s="7" t="s">
        <v>463</v>
      </c>
      <c r="J34" s="7" t="s">
        <v>651</v>
      </c>
      <c r="K34" s="9" t="s">
        <v>5</v>
      </c>
      <c r="L34" s="16" t="s">
        <v>5</v>
      </c>
      <c r="M34" s="18">
        <f>VLOOKUP(B34,[1]Planilha1!$A:$D,3,FALSE)</f>
        <v>-8307</v>
      </c>
      <c r="N34" s="18">
        <f>VLOOKUP(B34,[1]Planilha1!$A:$D,4,FALSE)</f>
        <v>-36002</v>
      </c>
    </row>
    <row r="35" spans="1:14" x14ac:dyDescent="0.3">
      <c r="A35" s="6">
        <v>26</v>
      </c>
      <c r="B35" s="4">
        <v>2603207</v>
      </c>
      <c r="C35" s="4">
        <v>260320</v>
      </c>
      <c r="D35" s="3" t="s">
        <v>233</v>
      </c>
      <c r="E35" s="3" t="s">
        <v>149</v>
      </c>
      <c r="F35" s="3" t="s">
        <v>401</v>
      </c>
      <c r="G35" s="3" t="s">
        <v>502</v>
      </c>
      <c r="H35" s="7" t="s">
        <v>4</v>
      </c>
      <c r="I35" s="7" t="s">
        <v>463</v>
      </c>
      <c r="J35" s="7" t="s">
        <v>651</v>
      </c>
      <c r="K35" s="9" t="s">
        <v>7</v>
      </c>
      <c r="L35" s="16" t="s">
        <v>7</v>
      </c>
      <c r="M35" s="18">
        <f>VLOOKUP(B35,[1]Planilha1!$A:$D,3,FALSE)</f>
        <v>-8775</v>
      </c>
      <c r="N35" s="18">
        <f>VLOOKUP(B35,[1]Planilha1!$A:$D,4,FALSE)</f>
        <v>-36634</v>
      </c>
    </row>
    <row r="36" spans="1:14" x14ac:dyDescent="0.3">
      <c r="A36" s="6">
        <v>26</v>
      </c>
      <c r="B36" s="4">
        <v>2603306</v>
      </c>
      <c r="C36" s="4">
        <v>260330</v>
      </c>
      <c r="D36" s="3" t="s">
        <v>234</v>
      </c>
      <c r="E36" s="3" t="s">
        <v>150</v>
      </c>
      <c r="F36" s="3" t="s">
        <v>402</v>
      </c>
      <c r="G36" s="3" t="s">
        <v>503</v>
      </c>
      <c r="H36" s="7" t="s">
        <v>4</v>
      </c>
      <c r="I36" s="7" t="s">
        <v>463</v>
      </c>
      <c r="J36" s="7" t="s">
        <v>651</v>
      </c>
      <c r="K36" s="9" t="s">
        <v>7</v>
      </c>
      <c r="L36" s="16" t="s">
        <v>7</v>
      </c>
      <c r="M36" s="18">
        <f>VLOOKUP(B36,[1]Planilha1!$A:$D,3,FALSE)</f>
        <v>-8847</v>
      </c>
      <c r="N36" s="18">
        <f>VLOOKUP(B36,[1]Planilha1!$A:$D,4,FALSE)</f>
        <v>-36398</v>
      </c>
    </row>
    <row r="37" spans="1:14" x14ac:dyDescent="0.3">
      <c r="A37" s="6">
        <v>26</v>
      </c>
      <c r="B37" s="4">
        <v>2603405</v>
      </c>
      <c r="C37" s="4">
        <v>260340</v>
      </c>
      <c r="D37" s="3" t="s">
        <v>235</v>
      </c>
      <c r="E37" s="3" t="s">
        <v>37</v>
      </c>
      <c r="F37" s="3" t="s">
        <v>37</v>
      </c>
      <c r="G37" s="3" t="s">
        <v>504</v>
      </c>
      <c r="H37" s="7" t="s">
        <v>1</v>
      </c>
      <c r="I37" s="7" t="s">
        <v>464</v>
      </c>
      <c r="J37" s="7" t="s">
        <v>652</v>
      </c>
      <c r="K37" s="9" t="s">
        <v>13</v>
      </c>
      <c r="L37" s="16" t="s">
        <v>454</v>
      </c>
      <c r="M37" s="18">
        <f>VLOOKUP(B37,[1]Planilha1!$A:$D,3,FALSE)</f>
        <v>-8232</v>
      </c>
      <c r="N37" s="18">
        <f>VLOOKUP(B37,[1]Planilha1!$A:$D,4,FALSE)</f>
        <v>-38297</v>
      </c>
    </row>
    <row r="38" spans="1:14" x14ac:dyDescent="0.3">
      <c r="A38" s="6">
        <v>26</v>
      </c>
      <c r="B38" s="4">
        <v>2603454</v>
      </c>
      <c r="C38" s="4">
        <v>260345</v>
      </c>
      <c r="D38" s="3" t="s">
        <v>236</v>
      </c>
      <c r="E38" s="3" t="s">
        <v>38</v>
      </c>
      <c r="F38" s="3" t="s">
        <v>38</v>
      </c>
      <c r="G38" s="3" t="s">
        <v>505</v>
      </c>
      <c r="H38" s="7" t="s">
        <v>0</v>
      </c>
      <c r="I38" s="7" t="s">
        <v>462</v>
      </c>
      <c r="J38" s="7" t="s">
        <v>650</v>
      </c>
      <c r="K38" s="9" t="s">
        <v>9</v>
      </c>
      <c r="L38" s="16" t="s">
        <v>9</v>
      </c>
      <c r="M38" s="18">
        <f>VLOOKUP(B38,[1]Planilha1!$A:$D,3,FALSE)</f>
        <v>-8026</v>
      </c>
      <c r="N38" s="18">
        <f>VLOOKUP(B38,[1]Planilha1!$A:$D,4,FALSE)</f>
        <v>-34954</v>
      </c>
    </row>
    <row r="39" spans="1:14" x14ac:dyDescent="0.3">
      <c r="A39" s="6">
        <v>26</v>
      </c>
      <c r="B39" s="4">
        <v>2603504</v>
      </c>
      <c r="C39" s="4">
        <v>260350</v>
      </c>
      <c r="D39" s="3" t="s">
        <v>237</v>
      </c>
      <c r="E39" s="3" t="s">
        <v>151</v>
      </c>
      <c r="F39" s="3" t="s">
        <v>403</v>
      </c>
      <c r="G39" s="3" t="s">
        <v>506</v>
      </c>
      <c r="H39" s="7" t="s">
        <v>4</v>
      </c>
      <c r="I39" s="7" t="s">
        <v>463</v>
      </c>
      <c r="J39" s="7" t="s">
        <v>651</v>
      </c>
      <c r="K39" s="9" t="s">
        <v>5</v>
      </c>
      <c r="L39" s="16" t="s">
        <v>5</v>
      </c>
      <c r="M39" s="18">
        <f>VLOOKUP(B39,[1]Planilha1!$A:$D,3,FALSE)</f>
        <v>-8349</v>
      </c>
      <c r="N39" s="18">
        <f>VLOOKUP(B39,[1]Planilha1!$A:$D,4,FALSE)</f>
        <v>-35746</v>
      </c>
    </row>
    <row r="40" spans="1:14" x14ac:dyDescent="0.3">
      <c r="A40" s="6">
        <v>26</v>
      </c>
      <c r="B40" s="4">
        <v>2603603</v>
      </c>
      <c r="C40" s="4">
        <v>260360</v>
      </c>
      <c r="D40" s="3" t="s">
        <v>238</v>
      </c>
      <c r="E40" s="3" t="s">
        <v>39</v>
      </c>
      <c r="F40" s="3" t="s">
        <v>39</v>
      </c>
      <c r="G40" s="3" t="s">
        <v>507</v>
      </c>
      <c r="H40" s="7" t="s">
        <v>0</v>
      </c>
      <c r="I40" s="7" t="s">
        <v>462</v>
      </c>
      <c r="J40" s="7" t="s">
        <v>650</v>
      </c>
      <c r="K40" s="9" t="s">
        <v>8</v>
      </c>
      <c r="L40" s="16" t="s">
        <v>8</v>
      </c>
      <c r="M40" s="18">
        <f>VLOOKUP(B40,[1]Planilha1!$A:$D,3,FALSE)</f>
        <v>-7531</v>
      </c>
      <c r="N40" s="18">
        <f>VLOOKUP(B40,[1]Planilha1!$A:$D,4,FALSE)</f>
        <v>-35250</v>
      </c>
    </row>
    <row r="41" spans="1:14" x14ac:dyDescent="0.3">
      <c r="A41" s="6">
        <v>26</v>
      </c>
      <c r="B41" s="4">
        <v>2603702</v>
      </c>
      <c r="C41" s="4">
        <v>260370</v>
      </c>
      <c r="D41" s="3" t="s">
        <v>239</v>
      </c>
      <c r="E41" s="3" t="s">
        <v>40</v>
      </c>
      <c r="F41" s="3" t="s">
        <v>40</v>
      </c>
      <c r="G41" s="3" t="s">
        <v>508</v>
      </c>
      <c r="H41" s="7" t="s">
        <v>4</v>
      </c>
      <c r="I41" s="7" t="s">
        <v>463</v>
      </c>
      <c r="J41" s="7" t="s">
        <v>651</v>
      </c>
      <c r="K41" s="9" t="s">
        <v>7</v>
      </c>
      <c r="L41" s="16" t="s">
        <v>7</v>
      </c>
      <c r="M41" s="18">
        <f>VLOOKUP(B41,[1]Planilha1!$A:$D,3,FALSE)</f>
        <v>-8887</v>
      </c>
      <c r="N41" s="18">
        <f>VLOOKUP(B41,[1]Planilha1!$A:$D,4,FALSE)</f>
        <v>-36377</v>
      </c>
    </row>
    <row r="42" spans="1:14" x14ac:dyDescent="0.3">
      <c r="A42" s="6">
        <v>26</v>
      </c>
      <c r="B42" s="4">
        <v>2603801</v>
      </c>
      <c r="C42" s="4">
        <v>260380</v>
      </c>
      <c r="D42" s="3" t="s">
        <v>240</v>
      </c>
      <c r="E42" s="3" t="s">
        <v>41</v>
      </c>
      <c r="F42" s="3" t="s">
        <v>41</v>
      </c>
      <c r="G42" s="3" t="s">
        <v>509</v>
      </c>
      <c r="H42" s="7" t="s">
        <v>4</v>
      </c>
      <c r="I42" s="7" t="s">
        <v>463</v>
      </c>
      <c r="J42" s="7" t="s">
        <v>651</v>
      </c>
      <c r="K42" s="9" t="s">
        <v>7</v>
      </c>
      <c r="L42" s="16" t="s">
        <v>7</v>
      </c>
      <c r="M42" s="18">
        <f>VLOOKUP(B42,[1]Planilha1!$A:$D,3,FALSE)</f>
        <v>-8675</v>
      </c>
      <c r="N42" s="18">
        <f>VLOOKUP(B42,[1]Planilha1!$A:$D,4,FALSE)</f>
        <v>-36621</v>
      </c>
    </row>
    <row r="43" spans="1:14" x14ac:dyDescent="0.3">
      <c r="A43" s="6">
        <v>26</v>
      </c>
      <c r="B43" s="4">
        <v>2603900</v>
      </c>
      <c r="C43" s="4">
        <v>260390</v>
      </c>
      <c r="D43" s="3" t="s">
        <v>241</v>
      </c>
      <c r="E43" s="3" t="s">
        <v>152</v>
      </c>
      <c r="F43" s="3" t="s">
        <v>404</v>
      </c>
      <c r="G43" s="3" t="s">
        <v>510</v>
      </c>
      <c r="H43" s="7" t="s">
        <v>1</v>
      </c>
      <c r="I43" s="7" t="s">
        <v>464</v>
      </c>
      <c r="J43" s="7" t="s">
        <v>652</v>
      </c>
      <c r="K43" s="9" t="s">
        <v>13</v>
      </c>
      <c r="L43" s="16" t="s">
        <v>454</v>
      </c>
      <c r="M43" s="18">
        <f>VLOOKUP(B43,[1]Planilha1!$A:$D,3,FALSE)</f>
        <v>-7839</v>
      </c>
      <c r="N43" s="18">
        <f>VLOOKUP(B43,[1]Planilha1!$A:$D,4,FALSE)</f>
        <v>-37766</v>
      </c>
    </row>
    <row r="44" spans="1:14" x14ac:dyDescent="0.3">
      <c r="A44" s="6">
        <v>26</v>
      </c>
      <c r="B44" s="4">
        <v>2603926</v>
      </c>
      <c r="C44" s="4">
        <v>260392</v>
      </c>
      <c r="D44" s="3" t="s">
        <v>242</v>
      </c>
      <c r="E44" s="3" t="s">
        <v>42</v>
      </c>
      <c r="F44" s="3" t="s">
        <v>42</v>
      </c>
      <c r="G44" s="3" t="s">
        <v>511</v>
      </c>
      <c r="H44" s="7" t="s">
        <v>1</v>
      </c>
      <c r="I44" s="7" t="s">
        <v>464</v>
      </c>
      <c r="J44" s="7" t="s">
        <v>652</v>
      </c>
      <c r="K44" s="9" t="s">
        <v>10</v>
      </c>
      <c r="L44" s="16" t="s">
        <v>457</v>
      </c>
      <c r="M44" s="18">
        <f>VLOOKUP(B44,[1]Planilha1!$A:$D,3,FALSE)</f>
        <v>-8243</v>
      </c>
      <c r="N44" s="18">
        <f>VLOOKUP(B44,[1]Planilha1!$A:$D,4,FALSE)</f>
        <v>-39467</v>
      </c>
    </row>
    <row r="45" spans="1:14" x14ac:dyDescent="0.3">
      <c r="A45" s="6">
        <v>26</v>
      </c>
      <c r="B45" s="4">
        <v>2604007</v>
      </c>
      <c r="C45" s="4">
        <v>260400</v>
      </c>
      <c r="D45" s="3" t="s">
        <v>243</v>
      </c>
      <c r="E45" s="3" t="s">
        <v>43</v>
      </c>
      <c r="F45" s="3" t="s">
        <v>43</v>
      </c>
      <c r="G45" s="3" t="s">
        <v>512</v>
      </c>
      <c r="H45" s="7" t="s">
        <v>0</v>
      </c>
      <c r="I45" s="7" t="s">
        <v>462</v>
      </c>
      <c r="J45" s="7" t="s">
        <v>650</v>
      </c>
      <c r="K45" s="9" t="s">
        <v>8</v>
      </c>
      <c r="L45" s="16" t="s">
        <v>8</v>
      </c>
      <c r="M45" s="18">
        <f>VLOOKUP(B45,[1]Planilha1!$A:$D,3,FALSE)</f>
        <v>-7834</v>
      </c>
      <c r="N45" s="18">
        <f>VLOOKUP(B45,[1]Planilha1!$A:$D,4,FALSE)</f>
        <v>-35155</v>
      </c>
    </row>
    <row r="46" spans="1:14" x14ac:dyDescent="0.3">
      <c r="A46" s="6">
        <v>26</v>
      </c>
      <c r="B46" s="4">
        <v>2604106</v>
      </c>
      <c r="C46" s="4">
        <v>260410</v>
      </c>
      <c r="D46" s="3" t="s">
        <v>244</v>
      </c>
      <c r="E46" s="3" t="s">
        <v>44</v>
      </c>
      <c r="F46" s="3" t="s">
        <v>44</v>
      </c>
      <c r="G46" s="3" t="s">
        <v>513</v>
      </c>
      <c r="H46" s="7" t="s">
        <v>4</v>
      </c>
      <c r="I46" s="7" t="s">
        <v>463</v>
      </c>
      <c r="J46" s="7" t="s">
        <v>651</v>
      </c>
      <c r="K46" s="9" t="s">
        <v>5</v>
      </c>
      <c r="L46" s="16" t="s">
        <v>5</v>
      </c>
      <c r="M46" s="18">
        <f>VLOOKUP(B46,[1]Planilha1!$A:$D,3,FALSE)</f>
        <v>-8277</v>
      </c>
      <c r="N46" s="18">
        <f>VLOOKUP(B46,[1]Planilha1!$A:$D,4,FALSE)</f>
        <v>-35975</v>
      </c>
    </row>
    <row r="47" spans="1:14" x14ac:dyDescent="0.3">
      <c r="A47" s="6">
        <v>26</v>
      </c>
      <c r="B47" s="4">
        <v>2604155</v>
      </c>
      <c r="C47" s="4">
        <v>260415</v>
      </c>
      <c r="D47" s="3" t="s">
        <v>245</v>
      </c>
      <c r="E47" s="3" t="s">
        <v>45</v>
      </c>
      <c r="F47" s="3" t="s">
        <v>45</v>
      </c>
      <c r="G47" s="3" t="s">
        <v>514</v>
      </c>
      <c r="H47" s="7" t="s">
        <v>0</v>
      </c>
      <c r="I47" s="7" t="s">
        <v>462</v>
      </c>
      <c r="J47" s="7" t="s">
        <v>650</v>
      </c>
      <c r="K47" s="9" t="s">
        <v>14</v>
      </c>
      <c r="L47" s="16" t="s">
        <v>14</v>
      </c>
      <c r="M47" s="18">
        <f>VLOOKUP(B47,[1]Planilha1!$A:$D,3,FALSE)</f>
        <v>-7728</v>
      </c>
      <c r="N47" s="18">
        <f>VLOOKUP(B47,[1]Planilha1!$A:$D,4,FALSE)</f>
        <v>-35539</v>
      </c>
    </row>
    <row r="48" spans="1:14" x14ac:dyDescent="0.3">
      <c r="A48" s="6">
        <v>26</v>
      </c>
      <c r="B48" s="4">
        <v>2604205</v>
      </c>
      <c r="C48" s="4">
        <v>260420</v>
      </c>
      <c r="D48" s="3" t="s">
        <v>246</v>
      </c>
      <c r="E48" s="3" t="s">
        <v>46</v>
      </c>
      <c r="F48" s="3" t="s">
        <v>46</v>
      </c>
      <c r="G48" s="3" t="s">
        <v>515</v>
      </c>
      <c r="H48" s="7" t="s">
        <v>0</v>
      </c>
      <c r="I48" s="7" t="s">
        <v>462</v>
      </c>
      <c r="J48" s="7" t="s">
        <v>650</v>
      </c>
      <c r="K48" s="9" t="s">
        <v>6</v>
      </c>
      <c r="L48" s="16" t="s">
        <v>6</v>
      </c>
      <c r="M48" s="18">
        <f>VLOOKUP(B48,[1]Planilha1!$A:$D,3,FALSE)</f>
        <v>-8647</v>
      </c>
      <c r="N48" s="18">
        <f>VLOOKUP(B48,[1]Planilha1!$A:$D,4,FALSE)</f>
        <v>-35411</v>
      </c>
    </row>
    <row r="49" spans="1:14" x14ac:dyDescent="0.3">
      <c r="A49" s="6">
        <v>26</v>
      </c>
      <c r="B49" s="4">
        <v>2604304</v>
      </c>
      <c r="C49" s="4">
        <v>260430</v>
      </c>
      <c r="D49" s="3" t="s">
        <v>247</v>
      </c>
      <c r="E49" s="3" t="s">
        <v>47</v>
      </c>
      <c r="F49" s="3" t="s">
        <v>47</v>
      </c>
      <c r="G49" s="3" t="s">
        <v>516</v>
      </c>
      <c r="H49" s="7" t="s">
        <v>2</v>
      </c>
      <c r="I49" s="7" t="s">
        <v>465</v>
      </c>
      <c r="J49" s="7" t="s">
        <v>653</v>
      </c>
      <c r="K49" s="9" t="s">
        <v>15</v>
      </c>
      <c r="L49" s="16" t="s">
        <v>458</v>
      </c>
      <c r="M49" s="18">
        <f>VLOOKUP(B49,[1]Planilha1!$A:$D,3,FALSE)</f>
        <v>-7863</v>
      </c>
      <c r="N49" s="18">
        <f>VLOOKUP(B49,[1]Planilha1!$A:$D,4,FALSE)</f>
        <v>-39112</v>
      </c>
    </row>
    <row r="50" spans="1:14" x14ac:dyDescent="0.3">
      <c r="A50" s="6">
        <v>26</v>
      </c>
      <c r="B50" s="4">
        <v>2604403</v>
      </c>
      <c r="C50" s="4">
        <v>260440</v>
      </c>
      <c r="D50" s="3" t="s">
        <v>248</v>
      </c>
      <c r="E50" s="3" t="s">
        <v>153</v>
      </c>
      <c r="F50" s="3" t="s">
        <v>405</v>
      </c>
      <c r="G50" s="3" t="s">
        <v>517</v>
      </c>
      <c r="H50" s="7" t="s">
        <v>0</v>
      </c>
      <c r="I50" s="7" t="s">
        <v>462</v>
      </c>
      <c r="J50" s="7" t="s">
        <v>650</v>
      </c>
      <c r="K50" s="9" t="s">
        <v>8</v>
      </c>
      <c r="L50" s="16" t="s">
        <v>8</v>
      </c>
      <c r="M50" s="18">
        <f>VLOOKUP(B50,[1]Planilha1!$A:$D,3,FALSE)</f>
        <v>-7954</v>
      </c>
      <c r="N50" s="18">
        <f>VLOOKUP(B50,[1]Planilha1!$A:$D,4,FALSE)</f>
        <v>-35289</v>
      </c>
    </row>
    <row r="51" spans="1:14" x14ac:dyDescent="0.3">
      <c r="A51" s="6">
        <v>26</v>
      </c>
      <c r="B51" s="4">
        <v>2604502</v>
      </c>
      <c r="C51" s="4">
        <v>260450</v>
      </c>
      <c r="D51" s="3" t="s">
        <v>249</v>
      </c>
      <c r="E51" s="3" t="s">
        <v>154</v>
      </c>
      <c r="F51" s="3" t="s">
        <v>406</v>
      </c>
      <c r="G51" s="3" t="s">
        <v>518</v>
      </c>
      <c r="H51" s="7" t="s">
        <v>0</v>
      </c>
      <c r="I51" s="7" t="s">
        <v>462</v>
      </c>
      <c r="J51" s="7" t="s">
        <v>650</v>
      </c>
      <c r="K51" s="9" t="s">
        <v>6</v>
      </c>
      <c r="L51" s="16" t="s">
        <v>6</v>
      </c>
      <c r="M51" s="18">
        <f>VLOOKUP(B51,[1]Planilha1!$A:$D,3,FALSE)</f>
        <v>-8077</v>
      </c>
      <c r="N51" s="18">
        <f>VLOOKUP(B51,[1]Planilha1!$A:$D,4,FALSE)</f>
        <v>-35460</v>
      </c>
    </row>
    <row r="52" spans="1:14" x14ac:dyDescent="0.3">
      <c r="A52" s="6">
        <v>26</v>
      </c>
      <c r="B52" s="4">
        <v>2604601</v>
      </c>
      <c r="C52" s="4">
        <v>260460</v>
      </c>
      <c r="D52" s="3" t="s">
        <v>250</v>
      </c>
      <c r="E52" s="3" t="s">
        <v>48</v>
      </c>
      <c r="F52" s="3" t="s">
        <v>48</v>
      </c>
      <c r="G52" s="3" t="s">
        <v>519</v>
      </c>
      <c r="H52" s="7" t="s">
        <v>0</v>
      </c>
      <c r="I52" s="7" t="s">
        <v>462</v>
      </c>
      <c r="J52" s="7" t="s">
        <v>650</v>
      </c>
      <c r="K52" s="9" t="s">
        <v>8</v>
      </c>
      <c r="L52" s="16" t="s">
        <v>8</v>
      </c>
      <c r="M52" s="18">
        <f>VLOOKUP(B52,[1]Planilha1!$A:$D,3,FALSE)</f>
        <v>-7585</v>
      </c>
      <c r="N52" s="18">
        <f>VLOOKUP(B52,[1]Planilha1!$A:$D,4,FALSE)</f>
        <v>-35088</v>
      </c>
    </row>
    <row r="53" spans="1:14" x14ac:dyDescent="0.3">
      <c r="A53" s="6">
        <v>26</v>
      </c>
      <c r="B53" s="4">
        <v>2604700</v>
      </c>
      <c r="C53" s="4">
        <v>260470</v>
      </c>
      <c r="D53" s="3" t="s">
        <v>251</v>
      </c>
      <c r="E53" s="3" t="s">
        <v>49</v>
      </c>
      <c r="F53" s="3" t="s">
        <v>49</v>
      </c>
      <c r="G53" s="3" t="s">
        <v>520</v>
      </c>
      <c r="H53" s="7" t="s">
        <v>4</v>
      </c>
      <c r="I53" s="7" t="s">
        <v>463</v>
      </c>
      <c r="J53" s="7" t="s">
        <v>651</v>
      </c>
      <c r="K53" s="9" t="s">
        <v>7</v>
      </c>
      <c r="L53" s="16" t="s">
        <v>7</v>
      </c>
      <c r="M53" s="18">
        <f>VLOOKUP(B53,[1]Planilha1!$A:$D,3,FALSE)</f>
        <v>-9123</v>
      </c>
      <c r="N53" s="18">
        <f>VLOOKUP(B53,[1]Planilha1!$A:$D,4,FALSE)</f>
        <v>-36331</v>
      </c>
    </row>
    <row r="54" spans="1:14" x14ac:dyDescent="0.3">
      <c r="A54" s="6">
        <v>26</v>
      </c>
      <c r="B54" s="4">
        <v>2604809</v>
      </c>
      <c r="C54" s="4">
        <v>260480</v>
      </c>
      <c r="D54" s="3" t="s">
        <v>252</v>
      </c>
      <c r="E54" s="3" t="s">
        <v>155</v>
      </c>
      <c r="F54" s="3" t="s">
        <v>407</v>
      </c>
      <c r="G54" s="3" t="s">
        <v>521</v>
      </c>
      <c r="H54" s="7" t="s">
        <v>0</v>
      </c>
      <c r="I54" s="7" t="s">
        <v>462</v>
      </c>
      <c r="J54" s="7" t="s">
        <v>650</v>
      </c>
      <c r="K54" s="9" t="s">
        <v>6</v>
      </c>
      <c r="L54" s="16" t="s">
        <v>6</v>
      </c>
      <c r="M54" s="18">
        <f>VLOOKUP(B54,[1]Planilha1!$A:$D,3,FALSE)</f>
        <v>-8549</v>
      </c>
      <c r="N54" s="18">
        <f>VLOOKUP(B54,[1]Planilha1!$A:$D,4,FALSE)</f>
        <v>-35212</v>
      </c>
    </row>
    <row r="55" spans="1:14" x14ac:dyDescent="0.3">
      <c r="A55" s="6">
        <v>26</v>
      </c>
      <c r="B55" s="4">
        <v>2604908</v>
      </c>
      <c r="C55" s="4">
        <v>260490</v>
      </c>
      <c r="D55" s="3" t="s">
        <v>253</v>
      </c>
      <c r="E55" s="3" t="s">
        <v>50</v>
      </c>
      <c r="F55" s="3" t="s">
        <v>50</v>
      </c>
      <c r="G55" s="3" t="s">
        <v>522</v>
      </c>
      <c r="H55" s="7" t="s">
        <v>0</v>
      </c>
      <c r="I55" s="7" t="s">
        <v>462</v>
      </c>
      <c r="J55" s="7" t="s">
        <v>650</v>
      </c>
      <c r="K55" s="9" t="s">
        <v>14</v>
      </c>
      <c r="L55" s="16" t="s">
        <v>14</v>
      </c>
      <c r="M55" s="18">
        <f>VLOOKUP(B55,[1]Planilha1!$A:$D,3,FALSE)</f>
        <v>-7957</v>
      </c>
      <c r="N55" s="18">
        <f>VLOOKUP(B55,[1]Planilha1!$A:$D,4,FALSE)</f>
        <v>-35749</v>
      </c>
    </row>
    <row r="56" spans="1:14" x14ac:dyDescent="0.3">
      <c r="A56" s="6">
        <v>26</v>
      </c>
      <c r="B56" s="4">
        <v>2605004</v>
      </c>
      <c r="C56" s="4">
        <v>260500</v>
      </c>
      <c r="D56" s="3" t="s">
        <v>254</v>
      </c>
      <c r="E56" s="3" t="s">
        <v>51</v>
      </c>
      <c r="F56" s="3" t="s">
        <v>51</v>
      </c>
      <c r="G56" s="3" t="s">
        <v>523</v>
      </c>
      <c r="H56" s="7" t="s">
        <v>4</v>
      </c>
      <c r="I56" s="7" t="s">
        <v>463</v>
      </c>
      <c r="J56" s="7" t="s">
        <v>651</v>
      </c>
      <c r="K56" s="9" t="s">
        <v>5</v>
      </c>
      <c r="L56" s="16" t="s">
        <v>5</v>
      </c>
      <c r="M56" s="18">
        <f>VLOOKUP(B56,[1]Planilha1!$A:$D,3,FALSE)</f>
        <v>-8591</v>
      </c>
      <c r="N56" s="18">
        <f>VLOOKUP(B56,[1]Planilha1!$A:$D,4,FALSE)</f>
        <v>-35787</v>
      </c>
    </row>
    <row r="57" spans="1:14" x14ac:dyDescent="0.3">
      <c r="A57" s="6">
        <v>26</v>
      </c>
      <c r="B57" s="4">
        <v>2605103</v>
      </c>
      <c r="C57" s="4">
        <v>260510</v>
      </c>
      <c r="D57" s="3" t="s">
        <v>255</v>
      </c>
      <c r="E57" s="3" t="s">
        <v>156</v>
      </c>
      <c r="F57" s="3" t="s">
        <v>408</v>
      </c>
      <c r="G57" s="3" t="s">
        <v>524</v>
      </c>
      <c r="H57" s="7" t="s">
        <v>1</v>
      </c>
      <c r="I57" s="7" t="s">
        <v>464</v>
      </c>
      <c r="J57" s="7" t="s">
        <v>652</v>
      </c>
      <c r="K57" s="9" t="s">
        <v>11</v>
      </c>
      <c r="L57" s="16" t="s">
        <v>459</v>
      </c>
      <c r="M57" s="18">
        <f>VLOOKUP(B57,[1]Planilha1!$A:$D,3,FALSE)</f>
        <v>-8081</v>
      </c>
      <c r="N57" s="18">
        <f>VLOOKUP(B57,[1]Planilha1!$A:$D,4,FALSE)</f>
        <v>-37636</v>
      </c>
    </row>
    <row r="58" spans="1:14" x14ac:dyDescent="0.3">
      <c r="A58" s="6">
        <v>26</v>
      </c>
      <c r="B58" s="4">
        <v>2605152</v>
      </c>
      <c r="C58" s="4">
        <v>260515</v>
      </c>
      <c r="D58" s="3" t="s">
        <v>256</v>
      </c>
      <c r="E58" s="3" t="s">
        <v>52</v>
      </c>
      <c r="F58" s="3" t="s">
        <v>52</v>
      </c>
      <c r="G58" s="3" t="s">
        <v>525</v>
      </c>
      <c r="H58" s="7" t="s">
        <v>2</v>
      </c>
      <c r="I58" s="7" t="s">
        <v>465</v>
      </c>
      <c r="J58" s="7" t="s">
        <v>653</v>
      </c>
      <c r="K58" s="9" t="s">
        <v>3</v>
      </c>
      <c r="L58" s="16" t="s">
        <v>455</v>
      </c>
      <c r="M58" s="18">
        <f>VLOOKUP(B58,[1]Planilha1!$A:$D,3,FALSE)</f>
        <v>-8043</v>
      </c>
      <c r="N58" s="18">
        <f>VLOOKUP(B58,[1]Planilha1!$A:$D,4,FALSE)</f>
        <v>-40751</v>
      </c>
    </row>
    <row r="59" spans="1:14" x14ac:dyDescent="0.3">
      <c r="A59" s="6">
        <v>26</v>
      </c>
      <c r="B59" s="4">
        <v>2605202</v>
      </c>
      <c r="C59" s="4">
        <v>260520</v>
      </c>
      <c r="D59" s="3" t="s">
        <v>257</v>
      </c>
      <c r="E59" s="3" t="s">
        <v>53</v>
      </c>
      <c r="F59" s="3" t="s">
        <v>53</v>
      </c>
      <c r="G59" s="3" t="s">
        <v>526</v>
      </c>
      <c r="H59" s="7" t="s">
        <v>0</v>
      </c>
      <c r="I59" s="7" t="s">
        <v>462</v>
      </c>
      <c r="J59" s="7" t="s">
        <v>650</v>
      </c>
      <c r="K59" s="9" t="s">
        <v>6</v>
      </c>
      <c r="L59" s="16" t="s">
        <v>6</v>
      </c>
      <c r="M59" s="18">
        <f>VLOOKUP(B59,[1]Planilha1!$A:$D,3,FALSE)</f>
        <v>-8361</v>
      </c>
      <c r="N59" s="18">
        <f>VLOOKUP(B59,[1]Planilha1!$A:$D,4,FALSE)</f>
        <v>-35210</v>
      </c>
    </row>
    <row r="60" spans="1:14" x14ac:dyDescent="0.3">
      <c r="A60" s="6">
        <v>26</v>
      </c>
      <c r="B60" s="4">
        <v>2605301</v>
      </c>
      <c r="C60" s="4">
        <v>260530</v>
      </c>
      <c r="D60" s="3" t="s">
        <v>258</v>
      </c>
      <c r="E60" s="3" t="s">
        <v>54</v>
      </c>
      <c r="F60" s="3" t="s">
        <v>54</v>
      </c>
      <c r="G60" s="3" t="s">
        <v>527</v>
      </c>
      <c r="H60" s="7" t="s">
        <v>2</v>
      </c>
      <c r="I60" s="7" t="s">
        <v>465</v>
      </c>
      <c r="J60" s="7" t="s">
        <v>653</v>
      </c>
      <c r="K60" s="9" t="s">
        <v>12</v>
      </c>
      <c r="L60" s="16" t="s">
        <v>456</v>
      </c>
      <c r="M60" s="18">
        <f>VLOOKUP(B60,[1]Planilha1!$A:$D,3,FALSE)</f>
        <v>-7502</v>
      </c>
      <c r="N60" s="18">
        <f>VLOOKUP(B60,[1]Planilha1!$A:$D,4,FALSE)</f>
        <v>-39734</v>
      </c>
    </row>
    <row r="61" spans="1:14" x14ac:dyDescent="0.3">
      <c r="A61" s="6">
        <v>26</v>
      </c>
      <c r="B61" s="4">
        <v>2605400</v>
      </c>
      <c r="C61" s="4">
        <v>260540</v>
      </c>
      <c r="D61" s="3" t="s">
        <v>259</v>
      </c>
      <c r="E61" s="3" t="s">
        <v>55</v>
      </c>
      <c r="F61" s="3" t="s">
        <v>55</v>
      </c>
      <c r="G61" s="3" t="s">
        <v>528</v>
      </c>
      <c r="H61" s="7" t="s">
        <v>0</v>
      </c>
      <c r="I61" s="7" t="s">
        <v>462</v>
      </c>
      <c r="J61" s="7" t="s">
        <v>650</v>
      </c>
      <c r="K61" s="9" t="s">
        <v>14</v>
      </c>
      <c r="L61" s="16" t="s">
        <v>14</v>
      </c>
      <c r="M61" s="18">
        <f>VLOOKUP(B61,[1]Planilha1!$A:$D,3,FALSE)</f>
        <v>-7876</v>
      </c>
      <c r="N61" s="18">
        <f>VLOOKUP(B61,[1]Planilha1!$A:$D,4,FALSE)</f>
        <v>-35405</v>
      </c>
    </row>
    <row r="62" spans="1:14" x14ac:dyDescent="0.3">
      <c r="A62" s="6">
        <v>26</v>
      </c>
      <c r="B62" s="4">
        <v>2605459</v>
      </c>
      <c r="C62" s="4">
        <v>260545</v>
      </c>
      <c r="D62" s="3" t="s">
        <v>260</v>
      </c>
      <c r="E62" s="3" t="s">
        <v>56</v>
      </c>
      <c r="F62" s="3" t="s">
        <v>56</v>
      </c>
      <c r="G62" s="3" t="s">
        <v>529</v>
      </c>
      <c r="H62" s="7" t="s">
        <v>0</v>
      </c>
      <c r="I62" s="7" t="s">
        <v>462</v>
      </c>
      <c r="J62" s="7" t="s">
        <v>650</v>
      </c>
      <c r="K62" s="9"/>
      <c r="L62" s="16"/>
      <c r="M62" s="18">
        <f>VLOOKUP(B62,[1]Planilha1!$A:$D,3,FALSE)</f>
        <v>-3856</v>
      </c>
      <c r="N62" s="18">
        <f>VLOOKUP(B62,[1]Planilha1!$A:$D,4,FALSE)</f>
        <v>-32428</v>
      </c>
    </row>
    <row r="63" spans="1:14" x14ac:dyDescent="0.3">
      <c r="A63" s="6">
        <v>26</v>
      </c>
      <c r="B63" s="4">
        <v>2605509</v>
      </c>
      <c r="C63" s="4">
        <v>260550</v>
      </c>
      <c r="D63" s="3" t="s">
        <v>261</v>
      </c>
      <c r="E63" s="3" t="s">
        <v>57</v>
      </c>
      <c r="F63" s="3" t="s">
        <v>57</v>
      </c>
      <c r="G63" s="3" t="s">
        <v>530</v>
      </c>
      <c r="H63" s="7" t="s">
        <v>0</v>
      </c>
      <c r="I63" s="7" t="s">
        <v>462</v>
      </c>
      <c r="J63" s="7" t="s">
        <v>650</v>
      </c>
      <c r="K63" s="9" t="s">
        <v>8</v>
      </c>
      <c r="L63" s="16" t="s">
        <v>8</v>
      </c>
      <c r="M63" s="18">
        <f>VLOOKUP(B63,[1]Planilha1!$A:$D,3,FALSE)</f>
        <v>-7424</v>
      </c>
      <c r="N63" s="18">
        <f>VLOOKUP(B63,[1]Planilha1!$A:$D,4,FALSE)</f>
        <v>-35244</v>
      </c>
    </row>
    <row r="64" spans="1:14" x14ac:dyDescent="0.3">
      <c r="A64" s="6">
        <v>26</v>
      </c>
      <c r="B64" s="4">
        <v>2605608</v>
      </c>
      <c r="C64" s="4">
        <v>260560</v>
      </c>
      <c r="D64" s="3" t="s">
        <v>262</v>
      </c>
      <c r="E64" s="3" t="s">
        <v>58</v>
      </c>
      <c r="F64" s="3" t="s">
        <v>58</v>
      </c>
      <c r="G64" s="3" t="s">
        <v>531</v>
      </c>
      <c r="H64" s="7" t="s">
        <v>1</v>
      </c>
      <c r="I64" s="7" t="s">
        <v>464</v>
      </c>
      <c r="J64" s="7" t="s">
        <v>652</v>
      </c>
      <c r="K64" s="9" t="s">
        <v>13</v>
      </c>
      <c r="L64" s="16" t="s">
        <v>454</v>
      </c>
      <c r="M64" s="18">
        <f>VLOOKUP(B64,[1]Planilha1!$A:$D,3,FALSE)</f>
        <v>-8271</v>
      </c>
      <c r="N64" s="18">
        <f>VLOOKUP(B64,[1]Planilha1!$A:$D,4,FALSE)</f>
        <v>-37958</v>
      </c>
    </row>
    <row r="65" spans="1:14" x14ac:dyDescent="0.3">
      <c r="A65" s="6">
        <v>26</v>
      </c>
      <c r="B65" s="4">
        <v>2605707</v>
      </c>
      <c r="C65" s="4">
        <v>260570</v>
      </c>
      <c r="D65" s="3" t="s">
        <v>263</v>
      </c>
      <c r="E65" s="3" t="s">
        <v>59</v>
      </c>
      <c r="F65" s="3" t="s">
        <v>59</v>
      </c>
      <c r="G65" s="3" t="s">
        <v>532</v>
      </c>
      <c r="H65" s="7" t="s">
        <v>1</v>
      </c>
      <c r="I65" s="7" t="s">
        <v>464</v>
      </c>
      <c r="J65" s="7" t="s">
        <v>652</v>
      </c>
      <c r="K65" s="9" t="s">
        <v>10</v>
      </c>
      <c r="L65" s="16" t="s">
        <v>457</v>
      </c>
      <c r="M65" s="18">
        <f>VLOOKUP(B65,[1]Planilha1!$A:$D,3,FALSE)</f>
        <v>-8601</v>
      </c>
      <c r="N65" s="18">
        <f>VLOOKUP(B65,[1]Planilha1!$A:$D,4,FALSE)</f>
        <v>-38560</v>
      </c>
    </row>
    <row r="66" spans="1:14" x14ac:dyDescent="0.3">
      <c r="A66" s="6">
        <v>26</v>
      </c>
      <c r="B66" s="4">
        <v>2605806</v>
      </c>
      <c r="C66" s="4">
        <v>260580</v>
      </c>
      <c r="D66" s="3" t="s">
        <v>264</v>
      </c>
      <c r="E66" s="3" t="s">
        <v>60</v>
      </c>
      <c r="F66" s="3" t="s">
        <v>60</v>
      </c>
      <c r="G66" s="3" t="s">
        <v>533</v>
      </c>
      <c r="H66" s="7" t="s">
        <v>4</v>
      </c>
      <c r="I66" s="7" t="s">
        <v>463</v>
      </c>
      <c r="J66" s="7" t="s">
        <v>651</v>
      </c>
      <c r="K66" s="9" t="s">
        <v>14</v>
      </c>
      <c r="L66" s="16" t="s">
        <v>14</v>
      </c>
      <c r="M66" s="18">
        <f>VLOOKUP(B66,[1]Planilha1!$A:$D,3,FALSE)</f>
        <v>-8007</v>
      </c>
      <c r="N66" s="18">
        <f>VLOOKUP(B66,[1]Planilha1!$A:$D,4,FALSE)</f>
        <v>-35779</v>
      </c>
    </row>
    <row r="67" spans="1:14" x14ac:dyDescent="0.3">
      <c r="A67" s="6">
        <v>26</v>
      </c>
      <c r="B67" s="4">
        <v>2605905</v>
      </c>
      <c r="C67" s="4">
        <v>260590</v>
      </c>
      <c r="D67" s="3" t="s">
        <v>265</v>
      </c>
      <c r="E67" s="3" t="s">
        <v>61</v>
      </c>
      <c r="F67" s="3" t="s">
        <v>61</v>
      </c>
      <c r="G67" s="3" t="s">
        <v>534</v>
      </c>
      <c r="H67" s="7" t="s">
        <v>0</v>
      </c>
      <c r="I67" s="7" t="s">
        <v>462</v>
      </c>
      <c r="J67" s="7" t="s">
        <v>650</v>
      </c>
      <c r="K67" s="9" t="s">
        <v>6</v>
      </c>
      <c r="L67" s="16" t="s">
        <v>6</v>
      </c>
      <c r="M67" s="18">
        <f>VLOOKUP(B67,[1]Planilha1!$A:$D,3,FALSE)</f>
        <v>-8649</v>
      </c>
      <c r="N67" s="18">
        <f>VLOOKUP(B67,[1]Planilha1!$A:$D,4,FALSE)</f>
        <v>-35321</v>
      </c>
    </row>
    <row r="68" spans="1:14" x14ac:dyDescent="0.3">
      <c r="A68" s="6">
        <v>26</v>
      </c>
      <c r="B68" s="4">
        <v>2606002</v>
      </c>
      <c r="C68" s="4">
        <v>260600</v>
      </c>
      <c r="D68" s="3" t="s">
        <v>266</v>
      </c>
      <c r="E68" s="3" t="s">
        <v>62</v>
      </c>
      <c r="F68" s="3" t="s">
        <v>62</v>
      </c>
      <c r="G68" s="3" t="s">
        <v>535</v>
      </c>
      <c r="H68" s="7" t="s">
        <v>4</v>
      </c>
      <c r="I68" s="7" t="s">
        <v>463</v>
      </c>
      <c r="J68" s="7" t="s">
        <v>651</v>
      </c>
      <c r="K68" s="9" t="s">
        <v>7</v>
      </c>
      <c r="L68" s="16" t="s">
        <v>7</v>
      </c>
      <c r="M68" s="18">
        <f>VLOOKUP(B68,[1]Planilha1!$A:$D,3,FALSE)</f>
        <v>-8895</v>
      </c>
      <c r="N68" s="18">
        <f>VLOOKUP(B68,[1]Planilha1!$A:$D,4,FALSE)</f>
        <v>-36495</v>
      </c>
    </row>
    <row r="69" spans="1:14" x14ac:dyDescent="0.3">
      <c r="A69" s="6">
        <v>26</v>
      </c>
      <c r="B69" s="4">
        <v>2606101</v>
      </c>
      <c r="C69" s="4">
        <v>260610</v>
      </c>
      <c r="D69" s="3" t="s">
        <v>267</v>
      </c>
      <c r="E69" s="3" t="s">
        <v>157</v>
      </c>
      <c r="F69" s="3" t="s">
        <v>409</v>
      </c>
      <c r="G69" s="3" t="s">
        <v>536</v>
      </c>
      <c r="H69" s="7" t="s">
        <v>0</v>
      </c>
      <c r="I69" s="7" t="s">
        <v>462</v>
      </c>
      <c r="J69" s="7" t="s">
        <v>650</v>
      </c>
      <c r="K69" s="9" t="s">
        <v>8</v>
      </c>
      <c r="L69" s="16" t="s">
        <v>8</v>
      </c>
      <c r="M69" s="18">
        <f>VLOOKUP(B69,[1]Planilha1!$A:$D,3,FALSE)</f>
        <v>-7940</v>
      </c>
      <c r="N69" s="18">
        <f>VLOOKUP(B69,[1]Planilha1!$A:$D,4,FALSE)</f>
        <v>-35309</v>
      </c>
    </row>
    <row r="70" spans="1:14" x14ac:dyDescent="0.3">
      <c r="A70" s="6">
        <v>26</v>
      </c>
      <c r="B70" s="4">
        <v>2606200</v>
      </c>
      <c r="C70" s="4">
        <v>260620</v>
      </c>
      <c r="D70" s="3" t="s">
        <v>268</v>
      </c>
      <c r="E70" s="3" t="s">
        <v>63</v>
      </c>
      <c r="F70" s="3" t="s">
        <v>63</v>
      </c>
      <c r="G70" s="3" t="s">
        <v>537</v>
      </c>
      <c r="H70" s="7" t="s">
        <v>0</v>
      </c>
      <c r="I70" s="7" t="s">
        <v>462</v>
      </c>
      <c r="J70" s="7" t="s">
        <v>650</v>
      </c>
      <c r="K70" s="9" t="s">
        <v>8</v>
      </c>
      <c r="L70" s="16" t="s">
        <v>8</v>
      </c>
      <c r="M70" s="18">
        <f>VLOOKUP(B70,[1]Planilha1!$A:$D,3,FALSE)</f>
        <v>-7556</v>
      </c>
      <c r="N70" s="18">
        <f>VLOOKUP(B70,[1]Planilha1!$A:$D,4,FALSE)</f>
        <v>-35006</v>
      </c>
    </row>
    <row r="71" spans="1:14" x14ac:dyDescent="0.3">
      <c r="A71" s="6">
        <v>26</v>
      </c>
      <c r="B71" s="4">
        <v>2606309</v>
      </c>
      <c r="C71" s="4">
        <v>260630</v>
      </c>
      <c r="D71" s="3" t="s">
        <v>269</v>
      </c>
      <c r="E71" s="3" t="s">
        <v>64</v>
      </c>
      <c r="F71" s="3" t="s">
        <v>64</v>
      </c>
      <c r="G71" s="3" t="s">
        <v>538</v>
      </c>
      <c r="H71" s="7" t="s">
        <v>2</v>
      </c>
      <c r="I71" s="7" t="s">
        <v>465</v>
      </c>
      <c r="J71" s="7" t="s">
        <v>653</v>
      </c>
      <c r="K71" s="9" t="s">
        <v>12</v>
      </c>
      <c r="L71" s="16" t="s">
        <v>456</v>
      </c>
      <c r="M71" s="18">
        <f>VLOOKUP(B71,[1]Planilha1!$A:$D,3,FALSE)</f>
        <v>-7739</v>
      </c>
      <c r="N71" s="18">
        <f>VLOOKUP(B71,[1]Planilha1!$A:$D,4,FALSE)</f>
        <v>-39691</v>
      </c>
    </row>
    <row r="72" spans="1:14" x14ac:dyDescent="0.3">
      <c r="A72" s="6">
        <v>26</v>
      </c>
      <c r="B72" s="4">
        <v>2606408</v>
      </c>
      <c r="C72" s="4">
        <v>260640</v>
      </c>
      <c r="D72" s="3" t="s">
        <v>270</v>
      </c>
      <c r="E72" s="3" t="s">
        <v>158</v>
      </c>
      <c r="F72" s="3" t="s">
        <v>410</v>
      </c>
      <c r="G72" s="3" t="s">
        <v>539</v>
      </c>
      <c r="H72" s="7" t="s">
        <v>4</v>
      </c>
      <c r="I72" s="7" t="s">
        <v>463</v>
      </c>
      <c r="J72" s="7" t="s">
        <v>651</v>
      </c>
      <c r="K72" s="9" t="s">
        <v>5</v>
      </c>
      <c r="L72" s="16" t="s">
        <v>5</v>
      </c>
      <c r="M72" s="18">
        <f>VLOOKUP(B72,[1]Planilha1!$A:$D,3,FALSE)</f>
        <v>-8204</v>
      </c>
      <c r="N72" s="18">
        <f>VLOOKUP(B72,[1]Planilha1!$A:$D,4,FALSE)</f>
        <v>-35586</v>
      </c>
    </row>
    <row r="73" spans="1:14" x14ac:dyDescent="0.3">
      <c r="A73" s="6">
        <v>26</v>
      </c>
      <c r="B73" s="4">
        <v>2606507</v>
      </c>
      <c r="C73" s="4">
        <v>260650</v>
      </c>
      <c r="D73" s="3" t="s">
        <v>271</v>
      </c>
      <c r="E73" s="3" t="s">
        <v>65</v>
      </c>
      <c r="F73" s="3" t="s">
        <v>65</v>
      </c>
      <c r="G73" s="3" t="s">
        <v>540</v>
      </c>
      <c r="H73" s="7" t="s">
        <v>4</v>
      </c>
      <c r="I73" s="7" t="s">
        <v>463</v>
      </c>
      <c r="J73" s="7" t="s">
        <v>651</v>
      </c>
      <c r="K73" s="9" t="s">
        <v>7</v>
      </c>
      <c r="L73" s="16" t="s">
        <v>7</v>
      </c>
      <c r="M73" s="18">
        <f>VLOOKUP(B73,[1]Planilha1!$A:$D,3,FALSE)</f>
        <v>-9098</v>
      </c>
      <c r="N73" s="18">
        <f>VLOOKUP(B73,[1]Planilha1!$A:$D,4,FALSE)</f>
        <v>-37284</v>
      </c>
    </row>
    <row r="74" spans="1:14" x14ac:dyDescent="0.3">
      <c r="A74" s="6">
        <v>26</v>
      </c>
      <c r="B74" s="4">
        <v>2606606</v>
      </c>
      <c r="C74" s="4">
        <v>260660</v>
      </c>
      <c r="D74" s="3" t="s">
        <v>272</v>
      </c>
      <c r="E74" s="3" t="s">
        <v>66</v>
      </c>
      <c r="F74" s="3" t="s">
        <v>66</v>
      </c>
      <c r="G74" s="3" t="s">
        <v>541</v>
      </c>
      <c r="H74" s="7" t="s">
        <v>1</v>
      </c>
      <c r="I74" s="7" t="s">
        <v>464</v>
      </c>
      <c r="J74" s="7" t="s">
        <v>652</v>
      </c>
      <c r="K74" s="9" t="s">
        <v>11</v>
      </c>
      <c r="L74" s="16" t="s">
        <v>459</v>
      </c>
      <c r="M74" s="18">
        <f>VLOOKUP(B74,[1]Planilha1!$A:$D,3,FALSE)</f>
        <v>-8540</v>
      </c>
      <c r="N74" s="18">
        <f>VLOOKUP(B74,[1]Planilha1!$A:$D,4,FALSE)</f>
        <v>-37691</v>
      </c>
    </row>
    <row r="75" spans="1:14" x14ac:dyDescent="0.3">
      <c r="A75" s="6">
        <v>26</v>
      </c>
      <c r="B75" s="4">
        <v>2606705</v>
      </c>
      <c r="C75" s="4">
        <v>260670</v>
      </c>
      <c r="D75" s="3" t="s">
        <v>273</v>
      </c>
      <c r="E75" s="3" t="s">
        <v>67</v>
      </c>
      <c r="F75" s="3" t="s">
        <v>67</v>
      </c>
      <c r="G75" s="3" t="s">
        <v>542</v>
      </c>
      <c r="H75" s="7" t="s">
        <v>4</v>
      </c>
      <c r="I75" s="7" t="s">
        <v>463</v>
      </c>
      <c r="J75" s="7" t="s">
        <v>651</v>
      </c>
      <c r="K75" s="9" t="s">
        <v>5</v>
      </c>
      <c r="L75" s="16" t="s">
        <v>5</v>
      </c>
      <c r="M75" s="18">
        <f>VLOOKUP(B75,[1]Planilha1!$A:$D,3,FALSE)</f>
        <v>-8558</v>
      </c>
      <c r="N75" s="18">
        <f>VLOOKUP(B75,[1]Planilha1!$A:$D,4,FALSE)</f>
        <v>-36002</v>
      </c>
    </row>
    <row r="76" spans="1:14" x14ac:dyDescent="0.3">
      <c r="A76" s="6">
        <v>26</v>
      </c>
      <c r="B76" s="4">
        <v>2606804</v>
      </c>
      <c r="C76" s="4">
        <v>260680</v>
      </c>
      <c r="D76" s="3" t="s">
        <v>274</v>
      </c>
      <c r="E76" s="3" t="s">
        <v>68</v>
      </c>
      <c r="F76" s="3" t="s">
        <v>68</v>
      </c>
      <c r="G76" s="3" t="s">
        <v>543</v>
      </c>
      <c r="H76" s="7" t="s">
        <v>0</v>
      </c>
      <c r="I76" s="7" t="s">
        <v>462</v>
      </c>
      <c r="J76" s="7" t="s">
        <v>650</v>
      </c>
      <c r="K76" s="9" t="s">
        <v>9</v>
      </c>
      <c r="L76" s="16" t="s">
        <v>9</v>
      </c>
      <c r="M76" s="18">
        <f>VLOOKUP(B76,[1]Planilha1!$A:$D,3,FALSE)</f>
        <v>-7834</v>
      </c>
      <c r="N76" s="18">
        <f>VLOOKUP(B76,[1]Planilha1!$A:$D,4,FALSE)</f>
        <v>-34918</v>
      </c>
    </row>
    <row r="77" spans="1:14" x14ac:dyDescent="0.3">
      <c r="A77" s="6">
        <v>26</v>
      </c>
      <c r="B77" s="4">
        <v>2606903</v>
      </c>
      <c r="C77" s="4">
        <v>260690</v>
      </c>
      <c r="D77" s="3" t="s">
        <v>275</v>
      </c>
      <c r="E77" s="3" t="s">
        <v>159</v>
      </c>
      <c r="F77" s="3" t="s">
        <v>467</v>
      </c>
      <c r="G77" s="3" t="s">
        <v>544</v>
      </c>
      <c r="H77" s="7" t="s">
        <v>1</v>
      </c>
      <c r="I77" s="7" t="s">
        <v>464</v>
      </c>
      <c r="J77" s="7" t="s">
        <v>652</v>
      </c>
      <c r="K77" s="9" t="s">
        <v>13</v>
      </c>
      <c r="L77" s="16" t="s">
        <v>454</v>
      </c>
      <c r="M77" s="18">
        <f>VLOOKUP(B77,[1]Planilha1!$A:$D,3,FALSE)</f>
        <v>-7808</v>
      </c>
      <c r="N77" s="18">
        <f>VLOOKUP(B77,[1]Planilha1!$A:$D,4,FALSE)</f>
        <v>-37494</v>
      </c>
    </row>
    <row r="78" spans="1:14" x14ac:dyDescent="0.3">
      <c r="A78" s="6">
        <v>26</v>
      </c>
      <c r="B78" s="4">
        <v>2607604</v>
      </c>
      <c r="C78" s="4">
        <v>260760</v>
      </c>
      <c r="D78" s="3" t="s">
        <v>276</v>
      </c>
      <c r="E78" s="3" t="s">
        <v>160</v>
      </c>
      <c r="F78" s="3" t="s">
        <v>411</v>
      </c>
      <c r="G78" s="3" t="s">
        <v>545</v>
      </c>
      <c r="H78" s="7" t="s">
        <v>0</v>
      </c>
      <c r="I78" s="7" t="s">
        <v>462</v>
      </c>
      <c r="J78" s="7" t="s">
        <v>650</v>
      </c>
      <c r="K78" s="9" t="s">
        <v>9</v>
      </c>
      <c r="L78" s="16" t="s">
        <v>9</v>
      </c>
      <c r="M78" s="18">
        <f>VLOOKUP(B78,[1]Planilha1!$A:$D,3,FALSE)</f>
        <v>-7747</v>
      </c>
      <c r="N78" s="18">
        <f>VLOOKUP(B78,[1]Planilha1!$A:$D,4,FALSE)</f>
        <v>-34821</v>
      </c>
    </row>
    <row r="79" spans="1:14" x14ac:dyDescent="0.3">
      <c r="A79" s="6">
        <v>26</v>
      </c>
      <c r="B79" s="4">
        <v>2607000</v>
      </c>
      <c r="C79" s="4">
        <v>260700</v>
      </c>
      <c r="D79" s="3" t="s">
        <v>277</v>
      </c>
      <c r="E79" s="3" t="s">
        <v>161</v>
      </c>
      <c r="F79" s="3" t="s">
        <v>412</v>
      </c>
      <c r="G79" s="3" t="s">
        <v>546</v>
      </c>
      <c r="H79" s="7" t="s">
        <v>1</v>
      </c>
      <c r="I79" s="7" t="s">
        <v>464</v>
      </c>
      <c r="J79" s="7" t="s">
        <v>652</v>
      </c>
      <c r="K79" s="9" t="s">
        <v>11</v>
      </c>
      <c r="L79" s="16" t="s">
        <v>459</v>
      </c>
      <c r="M79" s="18">
        <f>VLOOKUP(B79,[1]Planilha1!$A:$D,3,FALSE)</f>
        <v>-8349</v>
      </c>
      <c r="N79" s="18">
        <f>VLOOKUP(B79,[1]Planilha1!$A:$D,4,FALSE)</f>
        <v>-37994</v>
      </c>
    </row>
    <row r="80" spans="1:14" x14ac:dyDescent="0.3">
      <c r="A80" s="6">
        <v>26</v>
      </c>
      <c r="B80" s="4">
        <v>2607109</v>
      </c>
      <c r="C80" s="4">
        <v>260710</v>
      </c>
      <c r="D80" s="3" t="s">
        <v>278</v>
      </c>
      <c r="E80" s="3" t="s">
        <v>69</v>
      </c>
      <c r="F80" s="3" t="s">
        <v>69</v>
      </c>
      <c r="G80" s="3" t="s">
        <v>547</v>
      </c>
      <c r="H80" s="7" t="s">
        <v>1</v>
      </c>
      <c r="I80" s="7" t="s">
        <v>464</v>
      </c>
      <c r="J80" s="7" t="s">
        <v>652</v>
      </c>
      <c r="K80" s="9" t="s">
        <v>13</v>
      </c>
      <c r="L80" s="16" t="s">
        <v>454</v>
      </c>
      <c r="M80" s="18">
        <f>VLOOKUP(B80,[1]Planilha1!$A:$D,3,FALSE)</f>
        <v>-7632</v>
      </c>
      <c r="N80" s="18">
        <f>VLOOKUP(B80,[1]Planilha1!$A:$D,4,FALSE)</f>
        <v>-37447</v>
      </c>
    </row>
    <row r="81" spans="1:14" x14ac:dyDescent="0.3">
      <c r="A81" s="6">
        <v>26</v>
      </c>
      <c r="B81" s="4">
        <v>2607208</v>
      </c>
      <c r="C81" s="4">
        <v>260720</v>
      </c>
      <c r="D81" s="3" t="s">
        <v>279</v>
      </c>
      <c r="E81" s="3" t="s">
        <v>70</v>
      </c>
      <c r="F81" s="3" t="s">
        <v>70</v>
      </c>
      <c r="G81" s="3" t="s">
        <v>548</v>
      </c>
      <c r="H81" s="7" t="s">
        <v>0</v>
      </c>
      <c r="I81" s="7" t="s">
        <v>462</v>
      </c>
      <c r="J81" s="7" t="s">
        <v>650</v>
      </c>
      <c r="K81" s="9" t="s">
        <v>9</v>
      </c>
      <c r="L81" s="16" t="s">
        <v>9</v>
      </c>
      <c r="M81" s="18">
        <f>VLOOKUP(B81,[1]Planilha1!$A:$D,3,FALSE)</f>
        <v>-8402</v>
      </c>
      <c r="N81" s="18">
        <f>VLOOKUP(B81,[1]Planilha1!$A:$D,4,FALSE)</f>
        <v>-35066</v>
      </c>
    </row>
    <row r="82" spans="1:14" x14ac:dyDescent="0.3">
      <c r="A82" s="6">
        <v>26</v>
      </c>
      <c r="B82" s="4">
        <v>2607307</v>
      </c>
      <c r="C82" s="4">
        <v>260730</v>
      </c>
      <c r="D82" s="3" t="s">
        <v>280</v>
      </c>
      <c r="E82" s="3" t="s">
        <v>71</v>
      </c>
      <c r="F82" s="3" t="s">
        <v>71</v>
      </c>
      <c r="G82" s="3" t="s">
        <v>549</v>
      </c>
      <c r="H82" s="7" t="s">
        <v>2</v>
      </c>
      <c r="I82" s="7" t="s">
        <v>465</v>
      </c>
      <c r="J82" s="7" t="s">
        <v>653</v>
      </c>
      <c r="K82" s="9" t="s">
        <v>12</v>
      </c>
      <c r="L82" s="16" t="s">
        <v>456</v>
      </c>
      <c r="M82" s="18">
        <f>VLOOKUP(B82,[1]Planilha1!$A:$D,3,FALSE)</f>
        <v>-7669</v>
      </c>
      <c r="N82" s="18">
        <f>VLOOKUP(B82,[1]Planilha1!$A:$D,4,FALSE)</f>
        <v>-40134</v>
      </c>
    </row>
    <row r="83" spans="1:14" x14ac:dyDescent="0.3">
      <c r="A83" s="6">
        <v>26</v>
      </c>
      <c r="B83" s="4">
        <v>2607406</v>
      </c>
      <c r="C83" s="4">
        <v>260740</v>
      </c>
      <c r="D83" s="3" t="s">
        <v>281</v>
      </c>
      <c r="E83" s="3" t="s">
        <v>72</v>
      </c>
      <c r="F83" s="3" t="s">
        <v>72</v>
      </c>
      <c r="G83" s="3" t="s">
        <v>550</v>
      </c>
      <c r="H83" s="7" t="s">
        <v>1</v>
      </c>
      <c r="I83" s="7" t="s">
        <v>464</v>
      </c>
      <c r="J83" s="7" t="s">
        <v>652</v>
      </c>
      <c r="K83" s="9" t="s">
        <v>10</v>
      </c>
      <c r="L83" s="16" t="s">
        <v>457</v>
      </c>
      <c r="M83" s="18">
        <f>VLOOKUP(B83,[1]Planilha1!$A:$D,3,FALSE)</f>
        <v>-8586</v>
      </c>
      <c r="N83" s="18">
        <f>VLOOKUP(B83,[1]Planilha1!$A:$D,4,FALSE)</f>
        <v>-39062</v>
      </c>
    </row>
    <row r="84" spans="1:14" x14ac:dyDescent="0.3">
      <c r="A84" s="6">
        <v>26</v>
      </c>
      <c r="B84" s="4">
        <v>2607505</v>
      </c>
      <c r="C84" s="4">
        <v>260750</v>
      </c>
      <c r="D84" s="3" t="s">
        <v>282</v>
      </c>
      <c r="E84" s="3" t="s">
        <v>73</v>
      </c>
      <c r="F84" s="3" t="s">
        <v>73</v>
      </c>
      <c r="G84" s="3" t="s">
        <v>551</v>
      </c>
      <c r="H84" s="7" t="s">
        <v>4</v>
      </c>
      <c r="I84" s="7" t="s">
        <v>463</v>
      </c>
      <c r="J84" s="7" t="s">
        <v>651</v>
      </c>
      <c r="K84" s="9" t="s">
        <v>7</v>
      </c>
      <c r="L84" s="16" t="s">
        <v>7</v>
      </c>
      <c r="M84" s="18">
        <f>VLOOKUP(B84,[1]Planilha1!$A:$D,3,FALSE)</f>
        <v>-9006</v>
      </c>
      <c r="N84" s="18">
        <f>VLOOKUP(B84,[1]Planilha1!$A:$D,4,FALSE)</f>
        <v>-37476</v>
      </c>
    </row>
    <row r="85" spans="1:14" x14ac:dyDescent="0.3">
      <c r="A85" s="6">
        <v>26</v>
      </c>
      <c r="B85" s="4">
        <v>2607653</v>
      </c>
      <c r="C85" s="4">
        <v>260765</v>
      </c>
      <c r="D85" s="3" t="s">
        <v>283</v>
      </c>
      <c r="E85" s="3" t="s">
        <v>162</v>
      </c>
      <c r="F85" s="3" t="s">
        <v>413</v>
      </c>
      <c r="G85" s="3" t="s">
        <v>552</v>
      </c>
      <c r="H85" s="7" t="s">
        <v>0</v>
      </c>
      <c r="I85" s="7" t="s">
        <v>462</v>
      </c>
      <c r="J85" s="7" t="s">
        <v>650</v>
      </c>
      <c r="K85" s="9" t="s">
        <v>8</v>
      </c>
      <c r="L85" s="16" t="s">
        <v>8</v>
      </c>
      <c r="M85" s="18">
        <f>VLOOKUP(B85,[1]Planilha1!$A:$D,3,FALSE)</f>
        <v>-7424</v>
      </c>
      <c r="N85" s="18">
        <f>VLOOKUP(B85,[1]Planilha1!$A:$D,4,FALSE)</f>
        <v>-35109</v>
      </c>
    </row>
    <row r="86" spans="1:14" x14ac:dyDescent="0.3">
      <c r="A86" s="6">
        <v>26</v>
      </c>
      <c r="B86" s="4">
        <v>2607703</v>
      </c>
      <c r="C86" s="4">
        <v>260770</v>
      </c>
      <c r="D86" s="3" t="s">
        <v>284</v>
      </c>
      <c r="E86" s="3" t="s">
        <v>74</v>
      </c>
      <c r="F86" s="3" t="s">
        <v>74</v>
      </c>
      <c r="G86" s="3" t="s">
        <v>553</v>
      </c>
      <c r="H86" s="7" t="s">
        <v>1</v>
      </c>
      <c r="I86" s="7" t="s">
        <v>464</v>
      </c>
      <c r="J86" s="7" t="s">
        <v>652</v>
      </c>
      <c r="K86" s="9" t="s">
        <v>13</v>
      </c>
      <c r="L86" s="16" t="s">
        <v>454</v>
      </c>
      <c r="M86" s="18">
        <f>VLOOKUP(B86,[1]Planilha1!$A:$D,3,FALSE)</f>
        <v>-7369</v>
      </c>
      <c r="N86" s="18">
        <f>VLOOKUP(B86,[1]Planilha1!$A:$D,4,FALSE)</f>
        <v>-37214</v>
      </c>
    </row>
    <row r="87" spans="1:14" x14ac:dyDescent="0.3">
      <c r="A87" s="6">
        <v>26</v>
      </c>
      <c r="B87" s="4">
        <v>2607752</v>
      </c>
      <c r="C87" s="4">
        <v>260775</v>
      </c>
      <c r="D87" s="3" t="s">
        <v>285</v>
      </c>
      <c r="E87" s="3" t="s">
        <v>75</v>
      </c>
      <c r="F87" s="3" t="s">
        <v>75</v>
      </c>
      <c r="G87" s="3" t="s">
        <v>554</v>
      </c>
      <c r="H87" s="7" t="s">
        <v>0</v>
      </c>
      <c r="I87" s="7" t="s">
        <v>462</v>
      </c>
      <c r="J87" s="7" t="s">
        <v>650</v>
      </c>
      <c r="K87" s="9" t="s">
        <v>9</v>
      </c>
      <c r="L87" s="16" t="s">
        <v>9</v>
      </c>
      <c r="M87" s="18">
        <f>VLOOKUP(B87,[1]Planilha1!$A:$D,3,FALSE)</f>
        <v>-7777</v>
      </c>
      <c r="N87" s="18">
        <f>VLOOKUP(B87,[1]Planilha1!$A:$D,4,FALSE)</f>
        <v>-34898</v>
      </c>
    </row>
    <row r="88" spans="1:14" x14ac:dyDescent="0.3">
      <c r="A88" s="6">
        <v>26</v>
      </c>
      <c r="B88" s="4">
        <v>2607802</v>
      </c>
      <c r="C88" s="4">
        <v>260780</v>
      </c>
      <c r="D88" s="3" t="s">
        <v>286</v>
      </c>
      <c r="E88" s="3" t="s">
        <v>76</v>
      </c>
      <c r="F88" s="3" t="s">
        <v>76</v>
      </c>
      <c r="G88" s="3" t="s">
        <v>555</v>
      </c>
      <c r="H88" s="7" t="s">
        <v>0</v>
      </c>
      <c r="I88" s="7" t="s">
        <v>462</v>
      </c>
      <c r="J88" s="7" t="s">
        <v>650</v>
      </c>
      <c r="K88" s="9" t="s">
        <v>8</v>
      </c>
      <c r="L88" s="16" t="s">
        <v>8</v>
      </c>
      <c r="M88" s="18">
        <f>VLOOKUP(B88,[1]Planilha1!$A:$D,3,FALSE)</f>
        <v>-7694</v>
      </c>
      <c r="N88" s="18">
        <f>VLOOKUP(B88,[1]Planilha1!$A:$D,4,FALSE)</f>
        <v>-35250</v>
      </c>
    </row>
    <row r="89" spans="1:14" x14ac:dyDescent="0.3">
      <c r="A89" s="6">
        <v>26</v>
      </c>
      <c r="B89" s="4">
        <v>2607901</v>
      </c>
      <c r="C89" s="4">
        <v>260790</v>
      </c>
      <c r="D89" s="3" t="s">
        <v>287</v>
      </c>
      <c r="E89" s="3" t="s">
        <v>163</v>
      </c>
      <c r="F89" s="3" t="s">
        <v>414</v>
      </c>
      <c r="G89" s="3" t="s">
        <v>556</v>
      </c>
      <c r="H89" s="7" t="s">
        <v>0</v>
      </c>
      <c r="I89" s="7" t="s">
        <v>462</v>
      </c>
      <c r="J89" s="7" t="s">
        <v>650</v>
      </c>
      <c r="K89" s="9" t="s">
        <v>9</v>
      </c>
      <c r="L89" s="16" t="s">
        <v>9</v>
      </c>
      <c r="M89" s="18">
        <f>VLOOKUP(B89,[1]Planilha1!$A:$D,3,FALSE)</f>
        <v>-8103</v>
      </c>
      <c r="N89" s="18">
        <f>VLOOKUP(B89,[1]Planilha1!$A:$D,4,FALSE)</f>
        <v>-34922</v>
      </c>
    </row>
    <row r="90" spans="1:14" x14ac:dyDescent="0.3">
      <c r="A90" s="6">
        <v>26</v>
      </c>
      <c r="B90" s="4">
        <v>2607950</v>
      </c>
      <c r="C90" s="4">
        <v>260795</v>
      </c>
      <c r="D90" s="3" t="s">
        <v>288</v>
      </c>
      <c r="E90" s="3" t="s">
        <v>77</v>
      </c>
      <c r="F90" s="3" t="s">
        <v>77</v>
      </c>
      <c r="G90" s="3" t="s">
        <v>557</v>
      </c>
      <c r="H90" s="7" t="s">
        <v>0</v>
      </c>
      <c r="I90" s="7" t="s">
        <v>462</v>
      </c>
      <c r="J90" s="7" t="s">
        <v>650</v>
      </c>
      <c r="K90" s="9" t="s">
        <v>6</v>
      </c>
      <c r="L90" s="16" t="s">
        <v>6</v>
      </c>
      <c r="M90" s="18">
        <f>VLOOKUP(B90,[1]Planilha1!$A:$D,3,FALSE)</f>
        <v>-8777</v>
      </c>
      <c r="N90" s="18">
        <f>VLOOKUP(B90,[1]Planilha1!$A:$D,4,FALSE)</f>
        <v>-35795</v>
      </c>
    </row>
    <row r="91" spans="1:14" x14ac:dyDescent="0.3">
      <c r="A91" s="6">
        <v>26</v>
      </c>
      <c r="B91" s="4">
        <v>2608008</v>
      </c>
      <c r="C91" s="4">
        <v>260800</v>
      </c>
      <c r="D91" s="3" t="s">
        <v>289</v>
      </c>
      <c r="E91" s="3" t="s">
        <v>164</v>
      </c>
      <c r="F91" s="3" t="s">
        <v>415</v>
      </c>
      <c r="G91" s="3" t="s">
        <v>558</v>
      </c>
      <c r="H91" s="7" t="s">
        <v>4</v>
      </c>
      <c r="I91" s="7" t="s">
        <v>463</v>
      </c>
      <c r="J91" s="7" t="s">
        <v>651</v>
      </c>
      <c r="K91" s="9" t="s">
        <v>5</v>
      </c>
      <c r="L91" s="16" t="s">
        <v>5</v>
      </c>
      <c r="M91" s="18">
        <f>VLOOKUP(B91,[1]Planilha1!$A:$D,3,FALSE)</f>
        <v>-8077</v>
      </c>
      <c r="N91" s="18">
        <f>VLOOKUP(B91,[1]Planilha1!$A:$D,4,FALSE)</f>
        <v>-36565</v>
      </c>
    </row>
    <row r="92" spans="1:14" x14ac:dyDescent="0.3">
      <c r="A92" s="6">
        <v>26</v>
      </c>
      <c r="B92" s="4">
        <v>2608057</v>
      </c>
      <c r="C92" s="4">
        <v>260805</v>
      </c>
      <c r="D92" s="3" t="s">
        <v>290</v>
      </c>
      <c r="E92" s="3" t="s">
        <v>165</v>
      </c>
      <c r="F92" s="3" t="s">
        <v>416</v>
      </c>
      <c r="G92" s="3" t="s">
        <v>559</v>
      </c>
      <c r="H92" s="7" t="s">
        <v>1</v>
      </c>
      <c r="I92" s="7" t="s">
        <v>464</v>
      </c>
      <c r="J92" s="7" t="s">
        <v>652</v>
      </c>
      <c r="K92" s="9" t="s">
        <v>10</v>
      </c>
      <c r="L92" s="16" t="s">
        <v>457</v>
      </c>
      <c r="M92" s="18">
        <f>VLOOKUP(B92,[1]Planilha1!$A:$D,3,FALSE)</f>
        <v>-9103</v>
      </c>
      <c r="N92" s="18">
        <f>VLOOKUP(B92,[1]Planilha1!$A:$D,4,FALSE)</f>
        <v>-38258</v>
      </c>
    </row>
    <row r="93" spans="1:14" x14ac:dyDescent="0.3">
      <c r="A93" s="6">
        <v>26</v>
      </c>
      <c r="B93" s="4">
        <v>2608107</v>
      </c>
      <c r="C93" s="4">
        <v>260810</v>
      </c>
      <c r="D93" s="3" t="s">
        <v>291</v>
      </c>
      <c r="E93" s="3" t="s">
        <v>166</v>
      </c>
      <c r="F93" s="3" t="s">
        <v>417</v>
      </c>
      <c r="G93" s="3" t="s">
        <v>560</v>
      </c>
      <c r="H93" s="7" t="s">
        <v>0</v>
      </c>
      <c r="I93" s="7" t="s">
        <v>462</v>
      </c>
      <c r="J93" s="7" t="s">
        <v>650</v>
      </c>
      <c r="K93" s="9" t="s">
        <v>14</v>
      </c>
      <c r="L93" s="16" t="s">
        <v>14</v>
      </c>
      <c r="M93" s="18">
        <f>VLOOKUP(B93,[1]Planilha1!$A:$D,3,FALSE)</f>
        <v>-7854</v>
      </c>
      <c r="N93" s="18">
        <f>VLOOKUP(B93,[1]Planilha1!$A:$D,4,FALSE)</f>
        <v>-35586</v>
      </c>
    </row>
    <row r="94" spans="1:14" x14ac:dyDescent="0.3">
      <c r="A94" s="6">
        <v>26</v>
      </c>
      <c r="B94" s="4">
        <v>2608206</v>
      </c>
      <c r="C94" s="4">
        <v>260820</v>
      </c>
      <c r="D94" s="3" t="s">
        <v>292</v>
      </c>
      <c r="E94" s="3" t="s">
        <v>78</v>
      </c>
      <c r="F94" s="3" t="s">
        <v>78</v>
      </c>
      <c r="G94" s="3" t="s">
        <v>561</v>
      </c>
      <c r="H94" s="7" t="s">
        <v>0</v>
      </c>
      <c r="I94" s="7" t="s">
        <v>462</v>
      </c>
      <c r="J94" s="7" t="s">
        <v>650</v>
      </c>
      <c r="K94" s="9" t="s">
        <v>6</v>
      </c>
      <c r="L94" s="16" t="s">
        <v>6</v>
      </c>
      <c r="M94" s="18">
        <f>VLOOKUP(B94,[1]Planilha1!$A:$D,3,FALSE)</f>
        <v>-8644</v>
      </c>
      <c r="N94" s="18">
        <f>VLOOKUP(B94,[1]Planilha1!$A:$D,4,FALSE)</f>
        <v>-35539</v>
      </c>
    </row>
    <row r="95" spans="1:14" x14ac:dyDescent="0.3">
      <c r="A95" s="6">
        <v>26</v>
      </c>
      <c r="B95" s="4">
        <v>2608255</v>
      </c>
      <c r="C95" s="4">
        <v>260825</v>
      </c>
      <c r="D95" s="3" t="s">
        <v>293</v>
      </c>
      <c r="E95" s="3" t="s">
        <v>79</v>
      </c>
      <c r="F95" s="3" t="s">
        <v>79</v>
      </c>
      <c r="G95" s="3" t="s">
        <v>562</v>
      </c>
      <c r="H95" s="7" t="s">
        <v>4</v>
      </c>
      <c r="I95" s="7" t="s">
        <v>463</v>
      </c>
      <c r="J95" s="7" t="s">
        <v>651</v>
      </c>
      <c r="K95" s="9" t="s">
        <v>7</v>
      </c>
      <c r="L95" s="16" t="s">
        <v>7</v>
      </c>
      <c r="M95" s="18">
        <f>VLOOKUP(B95,[1]Planilha1!$A:$D,3,FALSE)</f>
        <v>-8761</v>
      </c>
      <c r="N95" s="18">
        <f>VLOOKUP(B95,[1]Planilha1!$A:$D,4,FALSE)</f>
        <v>-36539</v>
      </c>
    </row>
    <row r="96" spans="1:14" x14ac:dyDescent="0.3">
      <c r="A96" s="6">
        <v>26</v>
      </c>
      <c r="B96" s="4">
        <v>2608305</v>
      </c>
      <c r="C96" s="4">
        <v>260830</v>
      </c>
      <c r="D96" s="3" t="s">
        <v>294</v>
      </c>
      <c r="E96" s="3" t="s">
        <v>80</v>
      </c>
      <c r="F96" s="3" t="s">
        <v>80</v>
      </c>
      <c r="G96" s="3" t="s">
        <v>563</v>
      </c>
      <c r="H96" s="7" t="s">
        <v>4</v>
      </c>
      <c r="I96" s="7" t="s">
        <v>463</v>
      </c>
      <c r="J96" s="7" t="s">
        <v>651</v>
      </c>
      <c r="K96" s="9" t="s">
        <v>7</v>
      </c>
      <c r="L96" s="16" t="s">
        <v>7</v>
      </c>
      <c r="M96" s="18">
        <f>VLOOKUP(B96,[1]Planilha1!$A:$D,3,FALSE)</f>
        <v>-8784</v>
      </c>
      <c r="N96" s="18">
        <f>VLOOKUP(B96,[1]Planilha1!$A:$D,4,FALSE)</f>
        <v>-36425</v>
      </c>
    </row>
    <row r="97" spans="1:14" x14ac:dyDescent="0.3">
      <c r="A97" s="6">
        <v>26</v>
      </c>
      <c r="B97" s="4">
        <v>2608404</v>
      </c>
      <c r="C97" s="4">
        <v>260840</v>
      </c>
      <c r="D97" s="3" t="s">
        <v>295</v>
      </c>
      <c r="E97" s="3" t="s">
        <v>81</v>
      </c>
      <c r="F97" s="3" t="s">
        <v>81</v>
      </c>
      <c r="G97" s="3" t="s">
        <v>564</v>
      </c>
      <c r="H97" s="7" t="s">
        <v>4</v>
      </c>
      <c r="I97" s="7" t="s">
        <v>463</v>
      </c>
      <c r="J97" s="7" t="s">
        <v>651</v>
      </c>
      <c r="K97" s="9" t="s">
        <v>7</v>
      </c>
      <c r="L97" s="16" t="s">
        <v>7</v>
      </c>
      <c r="M97" s="18">
        <f>VLOOKUP(B97,[1]Planilha1!$A:$D,3,FALSE)</f>
        <v>-8766</v>
      </c>
      <c r="N97" s="18">
        <f>VLOOKUP(B97,[1]Planilha1!$A:$D,4,FALSE)</f>
        <v>-36212</v>
      </c>
    </row>
    <row r="98" spans="1:14" x14ac:dyDescent="0.3">
      <c r="A98" s="6">
        <v>26</v>
      </c>
      <c r="B98" s="4">
        <v>2608503</v>
      </c>
      <c r="C98" s="4">
        <v>260850</v>
      </c>
      <c r="D98" s="3" t="s">
        <v>296</v>
      </c>
      <c r="E98" s="3" t="s">
        <v>167</v>
      </c>
      <c r="F98" s="3" t="s">
        <v>167</v>
      </c>
      <c r="G98" s="3" t="s">
        <v>566</v>
      </c>
      <c r="H98" s="7" t="s">
        <v>0</v>
      </c>
      <c r="I98" s="7" t="s">
        <v>462</v>
      </c>
      <c r="J98" s="7" t="s">
        <v>650</v>
      </c>
      <c r="K98" s="9" t="s">
        <v>8</v>
      </c>
      <c r="L98" s="16" t="s">
        <v>8</v>
      </c>
      <c r="M98" s="18">
        <f>VLOOKUP(B98,[1]Planilha1!$A:$D,3,FALSE)</f>
        <v>-7954</v>
      </c>
      <c r="N98" s="18">
        <f>VLOOKUP(B98,[1]Planilha1!$A:$D,4,FALSE)</f>
        <v>-35340</v>
      </c>
    </row>
    <row r="99" spans="1:14" x14ac:dyDescent="0.3">
      <c r="A99" s="6">
        <v>26</v>
      </c>
      <c r="B99" s="4">
        <v>2608453</v>
      </c>
      <c r="C99" s="4">
        <v>260845</v>
      </c>
      <c r="D99" s="3" t="s">
        <v>297</v>
      </c>
      <c r="E99" s="3" t="s">
        <v>82</v>
      </c>
      <c r="F99" s="3" t="s">
        <v>82</v>
      </c>
      <c r="G99" s="3" t="s">
        <v>565</v>
      </c>
      <c r="H99" s="7" t="s">
        <v>0</v>
      </c>
      <c r="I99" s="7" t="s">
        <v>462</v>
      </c>
      <c r="J99" s="7" t="s">
        <v>650</v>
      </c>
      <c r="K99" s="9" t="s">
        <v>8</v>
      </c>
      <c r="L99" s="16" t="s">
        <v>8</v>
      </c>
      <c r="M99" s="18">
        <f>VLOOKUP(B99,[1]Planilha1!$A:$D,3,FALSE)</f>
        <v>-7834</v>
      </c>
      <c r="N99" s="18">
        <f>VLOOKUP(B99,[1]Planilha1!$A:$D,4,FALSE)</f>
        <v>-35340</v>
      </c>
    </row>
    <row r="100" spans="1:14" x14ac:dyDescent="0.3">
      <c r="A100" s="6">
        <v>26</v>
      </c>
      <c r="B100" s="4">
        <v>2608602</v>
      </c>
      <c r="C100" s="4">
        <v>260860</v>
      </c>
      <c r="D100" s="3" t="s">
        <v>298</v>
      </c>
      <c r="E100" s="3" t="s">
        <v>83</v>
      </c>
      <c r="F100" s="3" t="s">
        <v>83</v>
      </c>
      <c r="G100" s="3" t="s">
        <v>567</v>
      </c>
      <c r="H100" s="7" t="s">
        <v>4</v>
      </c>
      <c r="I100" s="7" t="s">
        <v>463</v>
      </c>
      <c r="J100" s="7" t="s">
        <v>651</v>
      </c>
      <c r="K100" s="9" t="s">
        <v>7</v>
      </c>
      <c r="L100" s="16" t="s">
        <v>7</v>
      </c>
      <c r="M100" s="18">
        <f>VLOOKUP(B100,[1]Planilha1!$A:$D,3,FALSE)</f>
        <v>-9112</v>
      </c>
      <c r="N100" s="18">
        <f>VLOOKUP(B100,[1]Planilha1!$A:$D,4,FALSE)</f>
        <v>-36529</v>
      </c>
    </row>
    <row r="101" spans="1:14" x14ac:dyDescent="0.3">
      <c r="A101" s="6">
        <v>26</v>
      </c>
      <c r="B101" s="4">
        <v>2608701</v>
      </c>
      <c r="C101" s="4">
        <v>260870</v>
      </c>
      <c r="D101" s="3" t="s">
        <v>299</v>
      </c>
      <c r="E101" s="3" t="s">
        <v>84</v>
      </c>
      <c r="F101" s="3" t="s">
        <v>84</v>
      </c>
      <c r="G101" s="3" t="s">
        <v>568</v>
      </c>
      <c r="H101" s="7" t="s">
        <v>0</v>
      </c>
      <c r="I101" s="7" t="s">
        <v>462</v>
      </c>
      <c r="J101" s="7" t="s">
        <v>650</v>
      </c>
      <c r="K101" s="9" t="s">
        <v>5</v>
      </c>
      <c r="L101" s="16" t="s">
        <v>5</v>
      </c>
      <c r="M101" s="18">
        <f>VLOOKUP(B101,[1]Planilha1!$A:$D,3,FALSE)</f>
        <v>-8629</v>
      </c>
      <c r="N101" s="18">
        <f>VLOOKUP(B101,[1]Planilha1!$A:$D,4,FALSE)</f>
        <v>-35918</v>
      </c>
    </row>
    <row r="102" spans="1:14" x14ac:dyDescent="0.3">
      <c r="A102" s="6">
        <v>26</v>
      </c>
      <c r="B102" s="4">
        <v>2608750</v>
      </c>
      <c r="C102" s="4">
        <v>260875</v>
      </c>
      <c r="D102" s="3" t="s">
        <v>300</v>
      </c>
      <c r="E102" s="3" t="s">
        <v>85</v>
      </c>
      <c r="F102" s="3" t="s">
        <v>85</v>
      </c>
      <c r="G102" s="3" t="s">
        <v>569</v>
      </c>
      <c r="H102" s="7" t="s">
        <v>2</v>
      </c>
      <c r="I102" s="7" t="s">
        <v>465</v>
      </c>
      <c r="J102" s="7" t="s">
        <v>653</v>
      </c>
      <c r="K102" s="9" t="s">
        <v>3</v>
      </c>
      <c r="L102" s="16" t="s">
        <v>455</v>
      </c>
      <c r="M102" s="18">
        <f>VLOOKUP(B102,[1]Planilha1!$A:$D,3,FALSE)</f>
        <v>-8995</v>
      </c>
      <c r="N102" s="18">
        <f>VLOOKUP(B102,[1]Planilha1!$A:$D,4,FALSE)</f>
        <v>-40264</v>
      </c>
    </row>
    <row r="103" spans="1:14" x14ac:dyDescent="0.3">
      <c r="A103" s="6">
        <v>26</v>
      </c>
      <c r="B103" s="4">
        <v>2608800</v>
      </c>
      <c r="C103" s="4">
        <v>260880</v>
      </c>
      <c r="D103" s="3" t="s">
        <v>301</v>
      </c>
      <c r="E103" s="3" t="s">
        <v>86</v>
      </c>
      <c r="F103" s="3" t="s">
        <v>86</v>
      </c>
      <c r="G103" s="3" t="s">
        <v>570</v>
      </c>
      <c r="H103" s="7" t="s">
        <v>4</v>
      </c>
      <c r="I103" s="7" t="s">
        <v>463</v>
      </c>
      <c r="J103" s="7" t="s">
        <v>651</v>
      </c>
      <c r="K103" s="9" t="s">
        <v>7</v>
      </c>
      <c r="L103" s="16" t="s">
        <v>7</v>
      </c>
      <c r="M103" s="18">
        <f>VLOOKUP(B103,[1]Planilha1!$A:$D,3,FALSE)</f>
        <v>-8675</v>
      </c>
      <c r="N103" s="18">
        <f>VLOOKUP(B103,[1]Planilha1!$A:$D,4,FALSE)</f>
        <v>-36315</v>
      </c>
    </row>
    <row r="104" spans="1:14" x14ac:dyDescent="0.3">
      <c r="A104" s="6">
        <v>26</v>
      </c>
      <c r="B104" s="4">
        <v>2608909</v>
      </c>
      <c r="C104" s="4">
        <v>260890</v>
      </c>
      <c r="D104" s="3" t="s">
        <v>302</v>
      </c>
      <c r="E104" s="3" t="s">
        <v>87</v>
      </c>
      <c r="F104" s="3" t="s">
        <v>87</v>
      </c>
      <c r="G104" s="3" t="s">
        <v>571</v>
      </c>
      <c r="H104" s="7" t="s">
        <v>0</v>
      </c>
      <c r="I104" s="7" t="s">
        <v>462</v>
      </c>
      <c r="J104" s="7" t="s">
        <v>650</v>
      </c>
      <c r="K104" s="9" t="s">
        <v>14</v>
      </c>
      <c r="L104" s="16" t="s">
        <v>14</v>
      </c>
      <c r="M104" s="18">
        <f>VLOOKUP(B104,[1]Planilha1!$A:$D,3,FALSE)</f>
        <v>-7886</v>
      </c>
      <c r="N104" s="18">
        <f>VLOOKUP(B104,[1]Planilha1!$A:$D,4,FALSE)</f>
        <v>-35460</v>
      </c>
    </row>
    <row r="105" spans="1:14" x14ac:dyDescent="0.3">
      <c r="A105" s="6">
        <v>26</v>
      </c>
      <c r="B105" s="4">
        <v>2609006</v>
      </c>
      <c r="C105" s="4">
        <v>260900</v>
      </c>
      <c r="D105" s="3" t="s">
        <v>303</v>
      </c>
      <c r="E105" s="3" t="s">
        <v>88</v>
      </c>
      <c r="F105" s="3" t="s">
        <v>88</v>
      </c>
      <c r="G105" s="3" t="s">
        <v>572</v>
      </c>
      <c r="H105" s="7" t="s">
        <v>0</v>
      </c>
      <c r="I105" s="7" t="s">
        <v>462</v>
      </c>
      <c r="J105" s="7" t="s">
        <v>650</v>
      </c>
      <c r="K105" s="9" t="s">
        <v>8</v>
      </c>
      <c r="L105" s="16" t="s">
        <v>8</v>
      </c>
      <c r="M105" s="18">
        <f>VLOOKUP(B105,[1]Planilha1!$A:$D,3,FALSE)</f>
        <v>-7519</v>
      </c>
      <c r="N105" s="18">
        <f>VLOOKUP(B105,[1]Planilha1!$A:$D,4,FALSE)</f>
        <v>-35378</v>
      </c>
    </row>
    <row r="106" spans="1:14" x14ac:dyDescent="0.3">
      <c r="A106" s="6">
        <v>26</v>
      </c>
      <c r="B106" s="4">
        <v>2609105</v>
      </c>
      <c r="C106" s="4">
        <v>260910</v>
      </c>
      <c r="D106" s="3" t="s">
        <v>304</v>
      </c>
      <c r="E106" s="3" t="s">
        <v>89</v>
      </c>
      <c r="F106" s="3" t="s">
        <v>89</v>
      </c>
      <c r="G106" s="3" t="s">
        <v>573</v>
      </c>
      <c r="H106" s="7" t="s">
        <v>0</v>
      </c>
      <c r="I106" s="7" t="s">
        <v>462</v>
      </c>
      <c r="J106" s="7" t="s">
        <v>650</v>
      </c>
      <c r="K106" s="9" t="s">
        <v>14</v>
      </c>
      <c r="L106" s="16" t="s">
        <v>14</v>
      </c>
      <c r="M106" s="18">
        <f>VLOOKUP(B106,[1]Planilha1!$A:$D,3,FALSE)</f>
        <v>-7778</v>
      </c>
      <c r="N106" s="18">
        <f>VLOOKUP(B106,[1]Planilha1!$A:$D,4,FALSE)</f>
        <v>-35485</v>
      </c>
    </row>
    <row r="107" spans="1:14" x14ac:dyDescent="0.3">
      <c r="A107" s="6">
        <v>26</v>
      </c>
      <c r="B107" s="4">
        <v>2609154</v>
      </c>
      <c r="C107" s="4">
        <v>260915</v>
      </c>
      <c r="D107" s="3" t="s">
        <v>305</v>
      </c>
      <c r="E107" s="3" t="s">
        <v>90</v>
      </c>
      <c r="F107" s="3" t="s">
        <v>90</v>
      </c>
      <c r="G107" s="3" t="s">
        <v>574</v>
      </c>
      <c r="H107" s="7" t="s">
        <v>1</v>
      </c>
      <c r="I107" s="7" t="s">
        <v>464</v>
      </c>
      <c r="J107" s="7" t="s">
        <v>652</v>
      </c>
      <c r="K107" s="9" t="s">
        <v>11</v>
      </c>
      <c r="L107" s="16" t="s">
        <v>459</v>
      </c>
      <c r="M107" s="18">
        <f>VLOOKUP(B107,[1]Planilha1!$A:$D,3,FALSE)</f>
        <v>-8703</v>
      </c>
      <c r="N107" s="18">
        <f>VLOOKUP(B107,[1]Planilha1!$A:$D,4,FALSE)</f>
        <v>-37766</v>
      </c>
    </row>
    <row r="108" spans="1:14" x14ac:dyDescent="0.3">
      <c r="A108" s="6">
        <v>26</v>
      </c>
      <c r="B108" s="4">
        <v>2609204</v>
      </c>
      <c r="C108" s="4">
        <v>260920</v>
      </c>
      <c r="D108" s="3" t="s">
        <v>306</v>
      </c>
      <c r="E108" s="3" t="s">
        <v>91</v>
      </c>
      <c r="F108" s="3" t="s">
        <v>91</v>
      </c>
      <c r="G108" s="3" t="s">
        <v>575</v>
      </c>
      <c r="H108" s="7" t="s">
        <v>0</v>
      </c>
      <c r="I108" s="7" t="s">
        <v>462</v>
      </c>
      <c r="J108" s="7" t="s">
        <v>650</v>
      </c>
      <c r="K108" s="9" t="s">
        <v>6</v>
      </c>
      <c r="L108" s="16" t="s">
        <v>6</v>
      </c>
      <c r="M108" s="18">
        <f>VLOOKUP(B108,[1]Planilha1!$A:$D,3,FALSE)</f>
        <v>-8822</v>
      </c>
      <c r="N108" s="18">
        <f>VLOOKUP(B108,[1]Planilha1!$A:$D,4,FALSE)</f>
        <v>-35617</v>
      </c>
    </row>
    <row r="109" spans="1:14" x14ac:dyDescent="0.3">
      <c r="A109" s="6">
        <v>26</v>
      </c>
      <c r="B109" s="4">
        <v>2609303</v>
      </c>
      <c r="C109" s="4">
        <v>260930</v>
      </c>
      <c r="D109" s="3" t="s">
        <v>307</v>
      </c>
      <c r="E109" s="3" t="s">
        <v>92</v>
      </c>
      <c r="F109" s="3" t="s">
        <v>92</v>
      </c>
      <c r="G109" s="3" t="s">
        <v>576</v>
      </c>
      <c r="H109" s="7" t="s">
        <v>2</v>
      </c>
      <c r="I109" s="7" t="s">
        <v>465</v>
      </c>
      <c r="J109" s="7" t="s">
        <v>653</v>
      </c>
      <c r="K109" s="9" t="s">
        <v>15</v>
      </c>
      <c r="L109" s="16" t="s">
        <v>458</v>
      </c>
      <c r="M109" s="18">
        <f>VLOOKUP(B109,[1]Planilha1!$A:$D,3,FALSE)</f>
        <v>-8243</v>
      </c>
      <c r="N109" s="18">
        <f>VLOOKUP(B109,[1]Planilha1!$A:$D,4,FALSE)</f>
        <v>-38835</v>
      </c>
    </row>
    <row r="110" spans="1:14" x14ac:dyDescent="0.3">
      <c r="A110" s="6">
        <v>26</v>
      </c>
      <c r="B110" s="4">
        <v>2614303</v>
      </c>
      <c r="C110" s="4">
        <v>261430</v>
      </c>
      <c r="D110" s="3" t="s">
        <v>308</v>
      </c>
      <c r="E110" s="3" t="s">
        <v>168</v>
      </c>
      <c r="F110" s="3" t="s">
        <v>418</v>
      </c>
      <c r="G110" s="3" t="s">
        <v>577</v>
      </c>
      <c r="H110" s="7" t="s">
        <v>2</v>
      </c>
      <c r="I110" s="7" t="s">
        <v>465</v>
      </c>
      <c r="J110" s="7" t="s">
        <v>653</v>
      </c>
      <c r="K110" s="9" t="s">
        <v>12</v>
      </c>
      <c r="L110" s="16" t="s">
        <v>456</v>
      </c>
      <c r="M110" s="18">
        <f>VLOOKUP(B110,[1]Planilha1!$A:$D,3,FALSE)</f>
        <v>-7632</v>
      </c>
      <c r="N110" s="18">
        <f>VLOOKUP(B110,[1]Planilha1!$A:$D,4,FALSE)</f>
        <v>-39957</v>
      </c>
    </row>
    <row r="111" spans="1:14" x14ac:dyDescent="0.3">
      <c r="A111" s="6">
        <v>26</v>
      </c>
      <c r="B111" s="4">
        <v>2609402</v>
      </c>
      <c r="C111" s="4">
        <v>260940</v>
      </c>
      <c r="D111" s="3" t="s">
        <v>309</v>
      </c>
      <c r="E111" s="3" t="s">
        <v>93</v>
      </c>
      <c r="F111" s="3" t="s">
        <v>93</v>
      </c>
      <c r="G111" s="3" t="s">
        <v>578</v>
      </c>
      <c r="H111" s="7" t="s">
        <v>0</v>
      </c>
      <c r="I111" s="7" t="s">
        <v>462</v>
      </c>
      <c r="J111" s="7" t="s">
        <v>650</v>
      </c>
      <c r="K111" s="9" t="s">
        <v>9</v>
      </c>
      <c r="L111" s="16" t="s">
        <v>9</v>
      </c>
      <c r="M111" s="18">
        <f>VLOOKUP(B111,[1]Planilha1!$A:$D,3,FALSE)</f>
        <v>-8127</v>
      </c>
      <c r="N111" s="18">
        <f>VLOOKUP(B111,[1]Planilha1!$A:$D,4,FALSE)</f>
        <v>-35088</v>
      </c>
    </row>
    <row r="112" spans="1:14" x14ac:dyDescent="0.3">
      <c r="A112" s="6">
        <v>26</v>
      </c>
      <c r="B112" s="4">
        <v>2609501</v>
      </c>
      <c r="C112" s="4">
        <v>260950</v>
      </c>
      <c r="D112" s="3" t="s">
        <v>310</v>
      </c>
      <c r="E112" s="3" t="s">
        <v>169</v>
      </c>
      <c r="F112" s="3" t="s">
        <v>419</v>
      </c>
      <c r="G112" s="3" t="s">
        <v>579</v>
      </c>
      <c r="H112" s="7" t="s">
        <v>0</v>
      </c>
      <c r="I112" s="7" t="s">
        <v>462</v>
      </c>
      <c r="J112" s="7" t="s">
        <v>650</v>
      </c>
      <c r="K112" s="9" t="s">
        <v>8</v>
      </c>
      <c r="L112" s="16" t="s">
        <v>8</v>
      </c>
      <c r="M112" s="18">
        <f>VLOOKUP(B112,[1]Planilha1!$A:$D,3,FALSE)</f>
        <v>-7733</v>
      </c>
      <c r="N112" s="18">
        <f>VLOOKUP(B112,[1]Planilha1!$A:$D,4,FALSE)</f>
        <v>-35250</v>
      </c>
    </row>
    <row r="113" spans="1:14" x14ac:dyDescent="0.3">
      <c r="A113" s="6">
        <v>26</v>
      </c>
      <c r="B113" s="4">
        <v>2609600</v>
      </c>
      <c r="C113" s="4">
        <v>260960</v>
      </c>
      <c r="D113" s="3" t="s">
        <v>311</v>
      </c>
      <c r="E113" s="3" t="s">
        <v>94</v>
      </c>
      <c r="F113" s="3" t="s">
        <v>94</v>
      </c>
      <c r="G113" s="3" t="s">
        <v>580</v>
      </c>
      <c r="H113" s="7" t="s">
        <v>0</v>
      </c>
      <c r="I113" s="7" t="s">
        <v>462</v>
      </c>
      <c r="J113" s="7" t="s">
        <v>650</v>
      </c>
      <c r="K113" s="9" t="s">
        <v>9</v>
      </c>
      <c r="L113" s="16" t="s">
        <v>9</v>
      </c>
      <c r="M113" s="18">
        <f>VLOOKUP(B113,[1]Planilha1!$A:$D,3,FALSE)</f>
        <v>-8006</v>
      </c>
      <c r="N113" s="18">
        <f>VLOOKUP(B113,[1]Planilha1!$A:$D,4,FALSE)</f>
        <v>-34858</v>
      </c>
    </row>
    <row r="114" spans="1:14" x14ac:dyDescent="0.3">
      <c r="A114" s="6">
        <v>26</v>
      </c>
      <c r="B114" s="4">
        <v>2609709</v>
      </c>
      <c r="C114" s="4">
        <v>260970</v>
      </c>
      <c r="D114" s="3" t="s">
        <v>312</v>
      </c>
      <c r="E114" s="3" t="s">
        <v>170</v>
      </c>
      <c r="F114" s="3" t="s">
        <v>420</v>
      </c>
      <c r="G114" s="3" t="s">
        <v>581</v>
      </c>
      <c r="H114" s="7" t="s">
        <v>0</v>
      </c>
      <c r="I114" s="7" t="s">
        <v>462</v>
      </c>
      <c r="J114" s="7" t="s">
        <v>650</v>
      </c>
      <c r="K114" s="9" t="s">
        <v>14</v>
      </c>
      <c r="L114" s="16" t="s">
        <v>14</v>
      </c>
      <c r="M114" s="18">
        <f>VLOOKUP(B114,[1]Planilha1!$A:$D,3,FALSE)</f>
        <v>-7756</v>
      </c>
      <c r="N114" s="18">
        <f>VLOOKUP(B114,[1]Planilha1!$A:$D,4,FALSE)</f>
        <v>-35565</v>
      </c>
    </row>
    <row r="115" spans="1:14" x14ac:dyDescent="0.3">
      <c r="A115" s="6">
        <v>26</v>
      </c>
      <c r="B115" s="4">
        <v>2609808</v>
      </c>
      <c r="C115" s="4">
        <v>260980</v>
      </c>
      <c r="D115" s="3" t="s">
        <v>313</v>
      </c>
      <c r="E115" s="3" t="s">
        <v>171</v>
      </c>
      <c r="F115" s="3" t="s">
        <v>421</v>
      </c>
      <c r="G115" s="3" t="s">
        <v>654</v>
      </c>
      <c r="H115" s="7" t="s">
        <v>2</v>
      </c>
      <c r="I115" s="7" t="s">
        <v>465</v>
      </c>
      <c r="J115" s="7" t="s">
        <v>653</v>
      </c>
      <c r="K115" s="9" t="s">
        <v>3</v>
      </c>
      <c r="L115" s="16" t="s">
        <v>455</v>
      </c>
      <c r="M115" s="18">
        <f>VLOOKUP(B115,[1]Planilha1!$A:$D,3,FALSE)</f>
        <v>-8544</v>
      </c>
      <c r="N115" s="18">
        <f>VLOOKUP(B115,[1]Planilha1!$A:$D,4,FALSE)</f>
        <v>-39882</v>
      </c>
    </row>
    <row r="116" spans="1:14" x14ac:dyDescent="0.3">
      <c r="A116" s="6">
        <v>26</v>
      </c>
      <c r="B116" s="4">
        <v>2609907</v>
      </c>
      <c r="C116" s="4">
        <v>260990</v>
      </c>
      <c r="D116" s="3" t="s">
        <v>314</v>
      </c>
      <c r="E116" s="3" t="s">
        <v>95</v>
      </c>
      <c r="F116" s="3" t="s">
        <v>95</v>
      </c>
      <c r="G116" s="3" t="s">
        <v>582</v>
      </c>
      <c r="H116" s="7" t="s">
        <v>2</v>
      </c>
      <c r="I116" s="7" t="s">
        <v>465</v>
      </c>
      <c r="J116" s="7" t="s">
        <v>653</v>
      </c>
      <c r="K116" s="9" t="s">
        <v>12</v>
      </c>
      <c r="L116" s="16" t="s">
        <v>456</v>
      </c>
      <c r="M116" s="18">
        <f>VLOOKUP(B116,[1]Planilha1!$A:$D,3,FALSE)</f>
        <v>-7886</v>
      </c>
      <c r="N116" s="18">
        <f>VLOOKUP(B116,[1]Planilha1!$A:$D,4,FALSE)</f>
        <v>-40098</v>
      </c>
    </row>
    <row r="117" spans="1:14" x14ac:dyDescent="0.3">
      <c r="A117" s="6">
        <v>26</v>
      </c>
      <c r="B117" s="4">
        <v>2610004</v>
      </c>
      <c r="C117" s="4">
        <v>261000</v>
      </c>
      <c r="D117" s="3" t="s">
        <v>315</v>
      </c>
      <c r="E117" s="3" t="s">
        <v>96</v>
      </c>
      <c r="F117" s="3" t="s">
        <v>96</v>
      </c>
      <c r="G117" s="3" t="s">
        <v>583</v>
      </c>
      <c r="H117" s="7" t="s">
        <v>0</v>
      </c>
      <c r="I117" s="7" t="s">
        <v>462</v>
      </c>
      <c r="J117" s="7" t="s">
        <v>650</v>
      </c>
      <c r="K117" s="9" t="s">
        <v>6</v>
      </c>
      <c r="L117" s="16" t="s">
        <v>6</v>
      </c>
      <c r="M117" s="18">
        <f>VLOOKUP(B117,[1]Planilha1!$A:$D,3,FALSE)</f>
        <v>-8683</v>
      </c>
      <c r="N117" s="18">
        <f>VLOOKUP(B117,[1]Planilha1!$A:$D,4,FALSE)</f>
        <v>-35510</v>
      </c>
    </row>
    <row r="118" spans="1:14" x14ac:dyDescent="0.3">
      <c r="A118" s="6">
        <v>26</v>
      </c>
      <c r="B118" s="4">
        <v>2610103</v>
      </c>
      <c r="C118" s="4">
        <v>261010</v>
      </c>
      <c r="D118" s="3" t="s">
        <v>316</v>
      </c>
      <c r="E118" s="3" t="s">
        <v>97</v>
      </c>
      <c r="F118" s="3" t="s">
        <v>97</v>
      </c>
      <c r="G118" s="3" t="s">
        <v>584</v>
      </c>
      <c r="H118" s="7" t="s">
        <v>4</v>
      </c>
      <c r="I118" s="7" t="s">
        <v>463</v>
      </c>
      <c r="J118" s="7" t="s">
        <v>651</v>
      </c>
      <c r="K118" s="9" t="s">
        <v>7</v>
      </c>
      <c r="L118" s="16" t="s">
        <v>7</v>
      </c>
      <c r="M118" s="18">
        <f>VLOOKUP(B118,[1]Planilha1!$A:$D,3,FALSE)</f>
        <v>-9006</v>
      </c>
      <c r="N118" s="18">
        <f>VLOOKUP(B118,[1]Planilha1!$A:$D,4,FALSE)</f>
        <v>-36012</v>
      </c>
    </row>
    <row r="119" spans="1:14" x14ac:dyDescent="0.3">
      <c r="A119" s="6">
        <v>26</v>
      </c>
      <c r="B119" s="4">
        <v>2610202</v>
      </c>
      <c r="C119" s="4">
        <v>261020</v>
      </c>
      <c r="D119" s="3" t="s">
        <v>317</v>
      </c>
      <c r="E119" s="3" t="s">
        <v>98</v>
      </c>
      <c r="F119" s="3" t="s">
        <v>98</v>
      </c>
      <c r="G119" s="3" t="s">
        <v>585</v>
      </c>
      <c r="H119" s="7" t="s">
        <v>4</v>
      </c>
      <c r="I119" s="7" t="s">
        <v>463</v>
      </c>
      <c r="J119" s="7" t="s">
        <v>651</v>
      </c>
      <c r="K119" s="9" t="s">
        <v>5</v>
      </c>
      <c r="L119" s="16" t="s">
        <v>5</v>
      </c>
      <c r="M119" s="18">
        <f>VLOOKUP(B119,[1]Planilha1!$A:$D,3,FALSE)</f>
        <v>-8665</v>
      </c>
      <c r="N119" s="18">
        <f>VLOOKUP(B119,[1]Planilha1!$A:$D,4,FALSE)</f>
        <v>-35940</v>
      </c>
    </row>
    <row r="120" spans="1:14" x14ac:dyDescent="0.3">
      <c r="A120" s="6">
        <v>26</v>
      </c>
      <c r="B120" s="4">
        <v>2610301</v>
      </c>
      <c r="C120" s="4">
        <v>261030</v>
      </c>
      <c r="D120" s="3" t="s">
        <v>318</v>
      </c>
      <c r="E120" s="3" t="s">
        <v>99</v>
      </c>
      <c r="F120" s="3" t="s">
        <v>99</v>
      </c>
      <c r="G120" s="3" t="s">
        <v>586</v>
      </c>
      <c r="H120" s="7" t="s">
        <v>4</v>
      </c>
      <c r="I120" s="7" t="s">
        <v>463</v>
      </c>
      <c r="J120" s="7" t="s">
        <v>651</v>
      </c>
      <c r="K120" s="9" t="s">
        <v>7</v>
      </c>
      <c r="L120" s="16" t="s">
        <v>7</v>
      </c>
      <c r="M120" s="18">
        <f>VLOOKUP(B120,[1]Planilha1!$A:$D,3,FALSE)</f>
        <v>-8877</v>
      </c>
      <c r="N120" s="18">
        <f>VLOOKUP(B120,[1]Planilha1!$A:$D,4,FALSE)</f>
        <v>-36634</v>
      </c>
    </row>
    <row r="121" spans="1:14" x14ac:dyDescent="0.3">
      <c r="A121" s="6">
        <v>26</v>
      </c>
      <c r="B121" s="4">
        <v>2610400</v>
      </c>
      <c r="C121" s="4">
        <v>261040</v>
      </c>
      <c r="D121" s="3" t="s">
        <v>319</v>
      </c>
      <c r="E121" s="3" t="s">
        <v>100</v>
      </c>
      <c r="F121" s="3" t="s">
        <v>100</v>
      </c>
      <c r="G121" s="3" t="s">
        <v>587</v>
      </c>
      <c r="H121" s="7" t="s">
        <v>2</v>
      </c>
      <c r="I121" s="7" t="s">
        <v>465</v>
      </c>
      <c r="J121" s="7" t="s">
        <v>653</v>
      </c>
      <c r="K121" s="9" t="s">
        <v>15</v>
      </c>
      <c r="L121" s="16" t="s">
        <v>458</v>
      </c>
      <c r="M121" s="18">
        <f>VLOOKUP(B121,[1]Planilha1!$A:$D,3,FALSE)</f>
        <v>-8081</v>
      </c>
      <c r="N121" s="18">
        <f>VLOOKUP(B121,[1]Planilha1!$A:$D,4,FALSE)</f>
        <v>-39578</v>
      </c>
    </row>
    <row r="122" spans="1:14" x14ac:dyDescent="0.3">
      <c r="A122" s="6">
        <v>26</v>
      </c>
      <c r="B122" s="4">
        <v>2610509</v>
      </c>
      <c r="C122" s="4">
        <v>261050</v>
      </c>
      <c r="D122" s="3" t="s">
        <v>320</v>
      </c>
      <c r="E122" s="3" t="s">
        <v>101</v>
      </c>
      <c r="F122" s="3" t="s">
        <v>101</v>
      </c>
      <c r="G122" s="3" t="s">
        <v>588</v>
      </c>
      <c r="H122" s="7" t="s">
        <v>0</v>
      </c>
      <c r="I122" s="7" t="s">
        <v>462</v>
      </c>
      <c r="J122" s="7" t="s">
        <v>650</v>
      </c>
      <c r="K122" s="9" t="s">
        <v>14</v>
      </c>
      <c r="L122" s="16" t="s">
        <v>14</v>
      </c>
      <c r="M122" s="18">
        <f>VLOOKUP(B122,[1]Planilha1!$A:$D,3,FALSE)</f>
        <v>-8077</v>
      </c>
      <c r="N122" s="18">
        <f>VLOOKUP(B122,[1]Planilha1!$A:$D,4,FALSE)</f>
        <v>-35694</v>
      </c>
    </row>
    <row r="123" spans="1:14" x14ac:dyDescent="0.3">
      <c r="A123" s="6">
        <v>26</v>
      </c>
      <c r="B123" s="4">
        <v>2610608</v>
      </c>
      <c r="C123" s="4">
        <v>261060</v>
      </c>
      <c r="D123" s="3" t="s">
        <v>321</v>
      </c>
      <c r="E123" s="3" t="s">
        <v>102</v>
      </c>
      <c r="F123" s="3" t="s">
        <v>102</v>
      </c>
      <c r="G123" s="3" t="s">
        <v>589</v>
      </c>
      <c r="H123" s="7" t="s">
        <v>0</v>
      </c>
      <c r="I123" s="7" t="s">
        <v>462</v>
      </c>
      <c r="J123" s="7" t="s">
        <v>650</v>
      </c>
      <c r="K123" s="9" t="s">
        <v>8</v>
      </c>
      <c r="L123" s="16" t="s">
        <v>8</v>
      </c>
      <c r="M123" s="18">
        <f>VLOOKUP(B123,[1]Planilha1!$A:$D,3,FALSE)</f>
        <v>-7954</v>
      </c>
      <c r="N123" s="18">
        <f>VLOOKUP(B123,[1]Planilha1!$A:$D,4,FALSE)</f>
        <v>-35195</v>
      </c>
    </row>
    <row r="124" spans="1:14" x14ac:dyDescent="0.3">
      <c r="A124" s="6">
        <v>26</v>
      </c>
      <c r="B124" s="4">
        <v>2610707</v>
      </c>
      <c r="C124" s="4">
        <v>261070</v>
      </c>
      <c r="D124" s="3" t="s">
        <v>322</v>
      </c>
      <c r="E124" s="3" t="s">
        <v>103</v>
      </c>
      <c r="F124" s="3" t="s">
        <v>103</v>
      </c>
      <c r="G124" s="3" t="s">
        <v>590</v>
      </c>
      <c r="H124" s="7" t="s">
        <v>0</v>
      </c>
      <c r="I124" s="7" t="s">
        <v>462</v>
      </c>
      <c r="J124" s="7" t="s">
        <v>650</v>
      </c>
      <c r="K124" s="9" t="s">
        <v>9</v>
      </c>
      <c r="L124" s="16" t="s">
        <v>9</v>
      </c>
      <c r="M124" s="18">
        <f>VLOOKUP(B124,[1]Planilha1!$A:$D,3,FALSE)</f>
        <v>-7954</v>
      </c>
      <c r="N124" s="18">
        <f>VLOOKUP(B124,[1]Planilha1!$A:$D,4,FALSE)</f>
        <v>-34871</v>
      </c>
    </row>
    <row r="125" spans="1:14" x14ac:dyDescent="0.3">
      <c r="A125" s="6">
        <v>26</v>
      </c>
      <c r="B125" s="4">
        <v>2610806</v>
      </c>
      <c r="C125" s="4">
        <v>261080</v>
      </c>
      <c r="D125" s="3" t="s">
        <v>323</v>
      </c>
      <c r="E125" s="3" t="s">
        <v>104</v>
      </c>
      <c r="F125" s="3" t="s">
        <v>104</v>
      </c>
      <c r="G125" s="3" t="s">
        <v>591</v>
      </c>
      <c r="H125" s="7" t="s">
        <v>1</v>
      </c>
      <c r="I125" s="7" t="s">
        <v>464</v>
      </c>
      <c r="J125" s="7" t="s">
        <v>652</v>
      </c>
      <c r="K125" s="9" t="s">
        <v>7</v>
      </c>
      <c r="L125" s="16" t="s">
        <v>7</v>
      </c>
      <c r="M125" s="18">
        <f>VLOOKUP(B125,[1]Planilha1!$A:$D,3,FALSE)</f>
        <v>-8411</v>
      </c>
      <c r="N125" s="18">
        <f>VLOOKUP(B125,[1]Planilha1!$A:$D,4,FALSE)</f>
        <v>-36963</v>
      </c>
    </row>
    <row r="126" spans="1:14" x14ac:dyDescent="0.3">
      <c r="A126" s="6">
        <v>26</v>
      </c>
      <c r="B126" s="4">
        <v>2610905</v>
      </c>
      <c r="C126" s="4">
        <v>261090</v>
      </c>
      <c r="D126" s="3" t="s">
        <v>324</v>
      </c>
      <c r="E126" s="3" t="s">
        <v>105</v>
      </c>
      <c r="F126" s="3" t="s">
        <v>105</v>
      </c>
      <c r="G126" s="3" t="s">
        <v>592</v>
      </c>
      <c r="H126" s="7" t="s">
        <v>4</v>
      </c>
      <c r="I126" s="7" t="s">
        <v>463</v>
      </c>
      <c r="J126" s="7" t="s">
        <v>651</v>
      </c>
      <c r="K126" s="9" t="s">
        <v>5</v>
      </c>
      <c r="L126" s="16" t="s">
        <v>5</v>
      </c>
      <c r="M126" s="18">
        <f>VLOOKUP(B126,[1]Planilha1!$A:$D,3,FALSE)</f>
        <v>-8358</v>
      </c>
      <c r="N126" s="18">
        <f>VLOOKUP(B126,[1]Planilha1!$A:$D,4,FALSE)</f>
        <v>-36691</v>
      </c>
    </row>
    <row r="127" spans="1:14" x14ac:dyDescent="0.3">
      <c r="A127" s="6">
        <v>26</v>
      </c>
      <c r="B127" s="4">
        <v>2611002</v>
      </c>
      <c r="C127" s="4">
        <v>261100</v>
      </c>
      <c r="D127" s="3" t="s">
        <v>325</v>
      </c>
      <c r="E127" s="3" t="s">
        <v>172</v>
      </c>
      <c r="F127" s="3" t="s">
        <v>422</v>
      </c>
      <c r="G127" s="3" t="s">
        <v>593</v>
      </c>
      <c r="H127" s="7" t="s">
        <v>1</v>
      </c>
      <c r="I127" s="7" t="s">
        <v>464</v>
      </c>
      <c r="J127" s="7" t="s">
        <v>652</v>
      </c>
      <c r="K127" s="9" t="s">
        <v>10</v>
      </c>
      <c r="L127" s="16" t="s">
        <v>457</v>
      </c>
      <c r="M127" s="18">
        <f>VLOOKUP(B127,[1]Planilha1!$A:$D,3,FALSE)</f>
        <v>-9186</v>
      </c>
      <c r="N127" s="18">
        <f>VLOOKUP(B127,[1]Planilha1!$A:$D,4,FALSE)</f>
        <v>-37962</v>
      </c>
    </row>
    <row r="128" spans="1:14" x14ac:dyDescent="0.3">
      <c r="A128" s="6">
        <v>26</v>
      </c>
      <c r="B128" s="4">
        <v>2611101</v>
      </c>
      <c r="C128" s="4">
        <v>261110</v>
      </c>
      <c r="D128" s="3" t="s">
        <v>326</v>
      </c>
      <c r="E128" s="3" t="s">
        <v>106</v>
      </c>
      <c r="F128" s="3" t="s">
        <v>106</v>
      </c>
      <c r="G128" s="3" t="s">
        <v>659</v>
      </c>
      <c r="H128" s="7" t="s">
        <v>2</v>
      </c>
      <c r="I128" s="7" t="s">
        <v>465</v>
      </c>
      <c r="J128" s="7" t="s">
        <v>653</v>
      </c>
      <c r="K128" s="9" t="s">
        <v>3</v>
      </c>
      <c r="L128" s="16" t="s">
        <v>455</v>
      </c>
      <c r="M128" s="18">
        <f>VLOOKUP(B128,[1]Planilha1!$A:$D,3,FALSE)</f>
        <v>-9397</v>
      </c>
      <c r="N128" s="18">
        <f>VLOOKUP(B128,[1]Planilha1!$A:$D,4,FALSE)</f>
        <v>-40505</v>
      </c>
    </row>
    <row r="129" spans="1:14" x14ac:dyDescent="0.3">
      <c r="A129" s="6">
        <v>26</v>
      </c>
      <c r="B129" s="4">
        <v>2611200</v>
      </c>
      <c r="C129" s="4">
        <v>261120</v>
      </c>
      <c r="D129" s="3" t="s">
        <v>327</v>
      </c>
      <c r="E129" s="3" t="s">
        <v>173</v>
      </c>
      <c r="F129" s="3" t="s">
        <v>423</v>
      </c>
      <c r="G129" s="3" t="s">
        <v>594</v>
      </c>
      <c r="H129" s="7" t="s">
        <v>4</v>
      </c>
      <c r="I129" s="7" t="s">
        <v>463</v>
      </c>
      <c r="J129" s="7" t="s">
        <v>651</v>
      </c>
      <c r="K129" s="9" t="s">
        <v>5</v>
      </c>
      <c r="L129" s="16" t="s">
        <v>5</v>
      </c>
      <c r="M129" s="18">
        <f>VLOOKUP(B129,[1]Planilha1!$A:$D,3,FALSE)</f>
        <v>-7585</v>
      </c>
      <c r="N129" s="18">
        <f>VLOOKUP(B129,[1]Planilha1!$A:$D,4,FALSE)</f>
        <v>-37382</v>
      </c>
    </row>
    <row r="130" spans="1:14" x14ac:dyDescent="0.3">
      <c r="A130" s="6">
        <v>26</v>
      </c>
      <c r="B130" s="4">
        <v>2611309</v>
      </c>
      <c r="C130" s="4">
        <v>261130</v>
      </c>
      <c r="D130" s="3" t="s">
        <v>328</v>
      </c>
      <c r="E130" s="3" t="s">
        <v>107</v>
      </c>
      <c r="F130" s="3" t="s">
        <v>107</v>
      </c>
      <c r="G130" s="3" t="s">
        <v>595</v>
      </c>
      <c r="H130" s="7" t="s">
        <v>0</v>
      </c>
      <c r="I130" s="7" t="s">
        <v>462</v>
      </c>
      <c r="J130" s="7" t="s">
        <v>650</v>
      </c>
      <c r="K130" s="9" t="s">
        <v>6</v>
      </c>
      <c r="L130" s="16" t="s">
        <v>6</v>
      </c>
      <c r="M130" s="18">
        <f>VLOOKUP(B130,[1]Planilha1!$A:$D,3,FALSE)</f>
        <v>-8127</v>
      </c>
      <c r="N130" s="18">
        <f>VLOOKUP(B130,[1]Planilha1!$A:$D,4,FALSE)</f>
        <v>-35434</v>
      </c>
    </row>
    <row r="131" spans="1:14" x14ac:dyDescent="0.3">
      <c r="A131" s="6">
        <v>26</v>
      </c>
      <c r="B131" s="4">
        <v>2611408</v>
      </c>
      <c r="C131" s="4">
        <v>261140</v>
      </c>
      <c r="D131" s="3" t="s">
        <v>329</v>
      </c>
      <c r="E131" s="3" t="s">
        <v>108</v>
      </c>
      <c r="F131" s="3" t="s">
        <v>108</v>
      </c>
      <c r="G131" s="3" t="s">
        <v>596</v>
      </c>
      <c r="H131" s="7" t="s">
        <v>0</v>
      </c>
      <c r="I131" s="7" t="s">
        <v>462</v>
      </c>
      <c r="J131" s="7" t="s">
        <v>650</v>
      </c>
      <c r="K131" s="9" t="s">
        <v>6</v>
      </c>
      <c r="L131" s="16" t="s">
        <v>6</v>
      </c>
      <c r="M131" s="18">
        <f>VLOOKUP(B131,[1]Planilha1!$A:$D,3,FALSE)</f>
        <v>-8361</v>
      </c>
      <c r="N131" s="18">
        <f>VLOOKUP(B131,[1]Planilha1!$A:$D,4,FALSE)</f>
        <v>-35155</v>
      </c>
    </row>
    <row r="132" spans="1:14" x14ac:dyDescent="0.3">
      <c r="A132" s="6">
        <v>26</v>
      </c>
      <c r="B132" s="4">
        <v>2611507</v>
      </c>
      <c r="C132" s="4">
        <v>261150</v>
      </c>
      <c r="D132" s="3" t="s">
        <v>330</v>
      </c>
      <c r="E132" s="3" t="s">
        <v>174</v>
      </c>
      <c r="F132" s="3" t="s">
        <v>424</v>
      </c>
      <c r="G132" s="3" t="s">
        <v>597</v>
      </c>
      <c r="H132" s="7" t="s">
        <v>0</v>
      </c>
      <c r="I132" s="7" t="s">
        <v>462</v>
      </c>
      <c r="J132" s="7" t="s">
        <v>650</v>
      </c>
      <c r="K132" s="9" t="s">
        <v>6</v>
      </c>
      <c r="L132" s="16" t="s">
        <v>6</v>
      </c>
      <c r="M132" s="18">
        <f>VLOOKUP(B132,[1]Planilha1!$A:$D,3,FALSE)</f>
        <v>-8822</v>
      </c>
      <c r="N132" s="18">
        <f>VLOOKUP(B132,[1]Planilha1!$A:$D,4,FALSE)</f>
        <v>-35659</v>
      </c>
    </row>
    <row r="133" spans="1:14" x14ac:dyDescent="0.3">
      <c r="A133" s="6">
        <v>26</v>
      </c>
      <c r="B133" s="4">
        <v>2611533</v>
      </c>
      <c r="C133" s="4">
        <v>261153</v>
      </c>
      <c r="D133" s="3" t="s">
        <v>331</v>
      </c>
      <c r="E133" s="3" t="s">
        <v>109</v>
      </c>
      <c r="F133" s="3" t="s">
        <v>109</v>
      </c>
      <c r="G133" s="3" t="s">
        <v>598</v>
      </c>
      <c r="H133" s="7" t="s">
        <v>1</v>
      </c>
      <c r="I133" s="7" t="s">
        <v>464</v>
      </c>
      <c r="J133" s="7" t="s">
        <v>652</v>
      </c>
      <c r="K133" s="9" t="s">
        <v>13</v>
      </c>
      <c r="L133" s="16" t="s">
        <v>454</v>
      </c>
      <c r="M133" s="18">
        <f>VLOOKUP(B133,[1]Planilha1!$A:$D,3,FALSE)</f>
        <v>-7797</v>
      </c>
      <c r="N133" s="18">
        <f>VLOOKUP(B133,[1]Planilha1!$A:$D,4,FALSE)</f>
        <v>-37766</v>
      </c>
    </row>
    <row r="134" spans="1:14" x14ac:dyDescent="0.3">
      <c r="A134" s="6">
        <v>26</v>
      </c>
      <c r="B134" s="4">
        <v>2611606</v>
      </c>
      <c r="C134" s="4">
        <v>261160</v>
      </c>
      <c r="D134" s="3" t="s">
        <v>332</v>
      </c>
      <c r="E134" s="3" t="s">
        <v>110</v>
      </c>
      <c r="F134" s="3" t="s">
        <v>110</v>
      </c>
      <c r="G134" s="3" t="s">
        <v>599</v>
      </c>
      <c r="H134" s="7" t="s">
        <v>0</v>
      </c>
      <c r="I134" s="7" t="s">
        <v>462</v>
      </c>
      <c r="J134" s="7" t="s">
        <v>650</v>
      </c>
      <c r="K134" s="9" t="s">
        <v>9</v>
      </c>
      <c r="L134" s="16" t="s">
        <v>9</v>
      </c>
      <c r="M134" s="18">
        <f>VLOOKUP(B134,[1]Planilha1!$A:$D,3,FALSE)</f>
        <v>-8054</v>
      </c>
      <c r="N134" s="18">
        <f>VLOOKUP(B134,[1]Planilha1!$A:$D,4,FALSE)</f>
        <v>-34881</v>
      </c>
    </row>
    <row r="135" spans="1:14" x14ac:dyDescent="0.3">
      <c r="A135" s="6">
        <v>26</v>
      </c>
      <c r="B135" s="4">
        <v>2611705</v>
      </c>
      <c r="C135" s="4">
        <v>261170</v>
      </c>
      <c r="D135" s="3" t="s">
        <v>333</v>
      </c>
      <c r="E135" s="3" t="s">
        <v>111</v>
      </c>
      <c r="F135" s="3" t="s">
        <v>111</v>
      </c>
      <c r="G135" s="3" t="s">
        <v>600</v>
      </c>
      <c r="H135" s="7" t="s">
        <v>4</v>
      </c>
      <c r="I135" s="7" t="s">
        <v>463</v>
      </c>
      <c r="J135" s="7" t="s">
        <v>651</v>
      </c>
      <c r="K135" s="9" t="s">
        <v>5</v>
      </c>
      <c r="L135" s="16" t="s">
        <v>5</v>
      </c>
      <c r="M135" s="18">
        <f>VLOOKUP(B135,[1]Planilha1!$A:$D,3,FALSE)</f>
        <v>-8243</v>
      </c>
      <c r="N135" s="18">
        <f>VLOOKUP(B135,[1]Planilha1!$A:$D,4,FALSE)</f>
        <v>-35795</v>
      </c>
    </row>
    <row r="136" spans="1:14" x14ac:dyDescent="0.3">
      <c r="A136" s="6">
        <v>26</v>
      </c>
      <c r="B136" s="4">
        <v>2611804</v>
      </c>
      <c r="C136" s="4">
        <v>261180</v>
      </c>
      <c r="D136" s="3" t="s">
        <v>334</v>
      </c>
      <c r="E136" s="3" t="s">
        <v>175</v>
      </c>
      <c r="F136" s="3" t="s">
        <v>425</v>
      </c>
      <c r="G136" s="3" t="s">
        <v>601</v>
      </c>
      <c r="H136" s="7" t="s">
        <v>0</v>
      </c>
      <c r="I136" s="7" t="s">
        <v>462</v>
      </c>
      <c r="J136" s="7" t="s">
        <v>650</v>
      </c>
      <c r="K136" s="9" t="s">
        <v>6</v>
      </c>
      <c r="L136" s="16" t="s">
        <v>6</v>
      </c>
      <c r="M136" s="18">
        <f>VLOOKUP(B136,[1]Planilha1!$A:$D,3,FALSE)</f>
        <v>-8513</v>
      </c>
      <c r="N136" s="18">
        <f>VLOOKUP(B136,[1]Planilha1!$A:$D,4,FALSE)</f>
        <v>-35385</v>
      </c>
    </row>
    <row r="137" spans="1:14" x14ac:dyDescent="0.3">
      <c r="A137" s="6">
        <v>26</v>
      </c>
      <c r="B137" s="4">
        <v>2611903</v>
      </c>
      <c r="C137" s="4">
        <v>261190</v>
      </c>
      <c r="D137" s="3" t="s">
        <v>335</v>
      </c>
      <c r="E137" s="3" t="s">
        <v>112</v>
      </c>
      <c r="F137" s="3" t="s">
        <v>112</v>
      </c>
      <c r="G137" s="3" t="s">
        <v>602</v>
      </c>
      <c r="H137" s="7" t="s">
        <v>0</v>
      </c>
      <c r="I137" s="7" t="s">
        <v>462</v>
      </c>
      <c r="J137" s="7" t="s">
        <v>650</v>
      </c>
      <c r="K137" s="9" t="s">
        <v>6</v>
      </c>
      <c r="L137" s="16" t="s">
        <v>6</v>
      </c>
      <c r="M137" s="18">
        <f>VLOOKUP(B137,[1]Planilha1!$A:$D,3,FALSE)</f>
        <v>-8675</v>
      </c>
      <c r="N137" s="18">
        <f>VLOOKUP(B137,[1]Planilha1!$A:$D,4,FALSE)</f>
        <v>-35155</v>
      </c>
    </row>
    <row r="138" spans="1:14" x14ac:dyDescent="0.3">
      <c r="A138" s="6">
        <v>26</v>
      </c>
      <c r="B138" s="4">
        <v>2612000</v>
      </c>
      <c r="C138" s="4">
        <v>261200</v>
      </c>
      <c r="D138" s="3" t="s">
        <v>336</v>
      </c>
      <c r="E138" s="3" t="s">
        <v>176</v>
      </c>
      <c r="F138" s="3" t="s">
        <v>426</v>
      </c>
      <c r="G138" s="3" t="s">
        <v>603</v>
      </c>
      <c r="H138" s="7" t="s">
        <v>4</v>
      </c>
      <c r="I138" s="7" t="s">
        <v>463</v>
      </c>
      <c r="J138" s="7" t="s">
        <v>651</v>
      </c>
      <c r="K138" s="9" t="s">
        <v>5</v>
      </c>
      <c r="L138" s="16" t="s">
        <v>5</v>
      </c>
      <c r="M138" s="18">
        <f>VLOOKUP(B138,[1]Planilha1!$A:$D,3,FALSE)</f>
        <v>-8468</v>
      </c>
      <c r="N138" s="18">
        <f>VLOOKUP(B138,[1]Planilha1!$A:$D,4,FALSE)</f>
        <v>-35631</v>
      </c>
    </row>
    <row r="139" spans="1:14" x14ac:dyDescent="0.3">
      <c r="A139" s="6">
        <v>26</v>
      </c>
      <c r="B139" s="4">
        <v>2612109</v>
      </c>
      <c r="C139" s="4">
        <v>261210</v>
      </c>
      <c r="D139" s="3" t="s">
        <v>337</v>
      </c>
      <c r="E139" s="3" t="s">
        <v>113</v>
      </c>
      <c r="F139" s="3" t="s">
        <v>113</v>
      </c>
      <c r="G139" s="3" t="s">
        <v>604</v>
      </c>
      <c r="H139" s="7" t="s">
        <v>0</v>
      </c>
      <c r="I139" s="7" t="s">
        <v>462</v>
      </c>
      <c r="J139" s="7" t="s">
        <v>650</v>
      </c>
      <c r="K139" s="9" t="s">
        <v>14</v>
      </c>
      <c r="L139" s="16" t="s">
        <v>14</v>
      </c>
      <c r="M139" s="18">
        <f>VLOOKUP(B139,[1]Planilha1!$A:$D,3,FALSE)</f>
        <v>-7957</v>
      </c>
      <c r="N139" s="18">
        <f>VLOOKUP(B139,[1]Planilha1!$A:$D,4,FALSE)</f>
        <v>-35694</v>
      </c>
    </row>
    <row r="140" spans="1:14" x14ac:dyDescent="0.3">
      <c r="A140" s="6">
        <v>26</v>
      </c>
      <c r="B140" s="4">
        <v>2612208</v>
      </c>
      <c r="C140" s="4">
        <v>261220</v>
      </c>
      <c r="D140" s="3" t="s">
        <v>338</v>
      </c>
      <c r="E140" s="3" t="s">
        <v>114</v>
      </c>
      <c r="F140" s="3" t="s">
        <v>114</v>
      </c>
      <c r="G140" s="3" t="s">
        <v>605</v>
      </c>
      <c r="H140" s="7" t="s">
        <v>2</v>
      </c>
      <c r="I140" s="7" t="s">
        <v>465</v>
      </c>
      <c r="J140" s="7" t="s">
        <v>653</v>
      </c>
      <c r="K140" s="9" t="s">
        <v>15</v>
      </c>
      <c r="L140" s="16" t="s">
        <v>458</v>
      </c>
      <c r="M140" s="18">
        <f>VLOOKUP(B140,[1]Planilha1!$A:$D,3,FALSE)</f>
        <v>-8077</v>
      </c>
      <c r="N140" s="18">
        <f>VLOOKUP(B140,[1]Planilha1!$A:$D,4,FALSE)</f>
        <v>-39112</v>
      </c>
    </row>
    <row r="141" spans="1:14" x14ac:dyDescent="0.3">
      <c r="A141" s="6">
        <v>26</v>
      </c>
      <c r="B141" s="4">
        <v>2612307</v>
      </c>
      <c r="C141" s="4">
        <v>261230</v>
      </c>
      <c r="D141" s="3" t="s">
        <v>339</v>
      </c>
      <c r="E141" s="3" t="s">
        <v>177</v>
      </c>
      <c r="F141" s="3" t="s">
        <v>427</v>
      </c>
      <c r="G141" s="3" t="s">
        <v>606</v>
      </c>
      <c r="H141" s="7" t="s">
        <v>4</v>
      </c>
      <c r="I141" s="7" t="s">
        <v>463</v>
      </c>
      <c r="J141" s="7" t="s">
        <v>651</v>
      </c>
      <c r="K141" s="9" t="s">
        <v>7</v>
      </c>
      <c r="L141" s="16" t="s">
        <v>7</v>
      </c>
      <c r="M141" s="18">
        <f>VLOOKUP(B141,[1]Planilha1!$A:$D,3,FALSE)</f>
        <v>-9006</v>
      </c>
      <c r="N141" s="18">
        <f>VLOOKUP(B141,[1]Planilha1!$A:$D,4,FALSE)</f>
        <v>-37070</v>
      </c>
    </row>
    <row r="142" spans="1:14" x14ac:dyDescent="0.3">
      <c r="A142" s="6">
        <v>26</v>
      </c>
      <c r="B142" s="4">
        <v>2612406</v>
      </c>
      <c r="C142" s="4">
        <v>261240</v>
      </c>
      <c r="D142" s="3" t="s">
        <v>340</v>
      </c>
      <c r="E142" s="3" t="s">
        <v>178</v>
      </c>
      <c r="F142" s="3" t="s">
        <v>428</v>
      </c>
      <c r="G142" s="3" t="s">
        <v>607</v>
      </c>
      <c r="H142" s="7" t="s">
        <v>4</v>
      </c>
      <c r="I142" s="7" t="s">
        <v>463</v>
      </c>
      <c r="J142" s="7" t="s">
        <v>651</v>
      </c>
      <c r="K142" s="9" t="s">
        <v>5</v>
      </c>
      <c r="L142" s="16" t="s">
        <v>5</v>
      </c>
      <c r="M142" s="18">
        <f>VLOOKUP(B142,[1]Planilha1!$A:$D,3,FALSE)</f>
        <v>-8324</v>
      </c>
      <c r="N142" s="18">
        <f>VLOOKUP(B142,[1]Planilha1!$A:$D,4,FALSE)</f>
        <v>-36565</v>
      </c>
    </row>
    <row r="143" spans="1:14" x14ac:dyDescent="0.3">
      <c r="A143" s="6">
        <v>26</v>
      </c>
      <c r="B143" s="4">
        <v>2612455</v>
      </c>
      <c r="C143" s="4">
        <v>261245</v>
      </c>
      <c r="D143" s="3" t="s">
        <v>341</v>
      </c>
      <c r="E143" s="3" t="s">
        <v>115</v>
      </c>
      <c r="F143" s="3" t="s">
        <v>115</v>
      </c>
      <c r="G143" s="3" t="s">
        <v>660</v>
      </c>
      <c r="H143" s="7" t="s">
        <v>2</v>
      </c>
      <c r="I143" s="7" t="s">
        <v>465</v>
      </c>
      <c r="J143" s="7" t="s">
        <v>653</v>
      </c>
      <c r="K143" s="9" t="s">
        <v>12</v>
      </c>
      <c r="L143" s="16" t="s">
        <v>456</v>
      </c>
      <c r="M143" s="18">
        <f>VLOOKUP(B143,[1]Planilha1!$A:$D,3,FALSE)</f>
        <v>-7340</v>
      </c>
      <c r="N143" s="18">
        <f>VLOOKUP(B143,[1]Planilha1!$A:$D,4,FALSE)</f>
        <v>-37214</v>
      </c>
    </row>
    <row r="144" spans="1:14" x14ac:dyDescent="0.3">
      <c r="A144" s="6">
        <v>26</v>
      </c>
      <c r="B144" s="4">
        <v>2612471</v>
      </c>
      <c r="C144" s="4">
        <v>261247</v>
      </c>
      <c r="D144" s="3" t="s">
        <v>342</v>
      </c>
      <c r="E144" s="3" t="s">
        <v>116</v>
      </c>
      <c r="F144" s="3" t="s">
        <v>116</v>
      </c>
      <c r="G144" s="3" t="s">
        <v>608</v>
      </c>
      <c r="H144" s="7" t="s">
        <v>1</v>
      </c>
      <c r="I144" s="7" t="s">
        <v>464</v>
      </c>
      <c r="J144" s="7" t="s">
        <v>652</v>
      </c>
      <c r="K144" s="9" t="s">
        <v>13</v>
      </c>
      <c r="L144" s="16" t="s">
        <v>454</v>
      </c>
      <c r="M144" s="18">
        <f>VLOOKUP(B144,[1]Planilha1!$A:$D,3,FALSE)</f>
        <v>-7808</v>
      </c>
      <c r="N144" s="18">
        <f>VLOOKUP(B144,[1]Planilha1!$A:$D,4,FALSE)</f>
        <v>-38167</v>
      </c>
    </row>
    <row r="145" spans="1:14" x14ac:dyDescent="0.3">
      <c r="A145" s="6">
        <v>26</v>
      </c>
      <c r="B145" s="4">
        <v>2612505</v>
      </c>
      <c r="C145" s="4">
        <v>261250</v>
      </c>
      <c r="D145" s="3" t="s">
        <v>343</v>
      </c>
      <c r="E145" s="3" t="s">
        <v>117</v>
      </c>
      <c r="F145" s="3" t="s">
        <v>117</v>
      </c>
      <c r="G145" s="3" t="s">
        <v>609</v>
      </c>
      <c r="H145" s="7" t="s">
        <v>4</v>
      </c>
      <c r="I145" s="7" t="s">
        <v>463</v>
      </c>
      <c r="J145" s="7" t="s">
        <v>651</v>
      </c>
      <c r="K145" s="9" t="s">
        <v>14</v>
      </c>
      <c r="L145" s="16" t="s">
        <v>14</v>
      </c>
      <c r="M145" s="18">
        <f>VLOOKUP(B145,[1]Planilha1!$A:$D,3,FALSE)</f>
        <v>-7940</v>
      </c>
      <c r="N145" s="18">
        <f>VLOOKUP(B145,[1]Planilha1!$A:$D,4,FALSE)</f>
        <v>-36273</v>
      </c>
    </row>
    <row r="146" spans="1:14" x14ac:dyDescent="0.3">
      <c r="A146" s="6">
        <v>26</v>
      </c>
      <c r="B146" s="4">
        <v>2612554</v>
      </c>
      <c r="C146" s="4">
        <v>261255</v>
      </c>
      <c r="D146" s="3" t="s">
        <v>344</v>
      </c>
      <c r="E146" s="3" t="s">
        <v>118</v>
      </c>
      <c r="F146" s="3" t="s">
        <v>118</v>
      </c>
      <c r="G146" s="3" t="s">
        <v>610</v>
      </c>
      <c r="H146" s="7" t="s">
        <v>2</v>
      </c>
      <c r="I146" s="7" t="s">
        <v>465</v>
      </c>
      <c r="J146" s="7" t="s">
        <v>653</v>
      </c>
      <c r="K146" s="9" t="s">
        <v>12</v>
      </c>
      <c r="L146" s="16" t="s">
        <v>456</v>
      </c>
      <c r="M146" s="18">
        <f>VLOOKUP(B146,[1]Planilha1!$A:$D,3,FALSE)</f>
        <v>-8558</v>
      </c>
      <c r="N146" s="18">
        <f>VLOOKUP(B146,[1]Planilha1!$A:$D,4,FALSE)</f>
        <v>-40612</v>
      </c>
    </row>
    <row r="147" spans="1:14" x14ac:dyDescent="0.3">
      <c r="A147" s="6">
        <v>26</v>
      </c>
      <c r="B147" s="4">
        <v>2612604</v>
      </c>
      <c r="C147" s="4">
        <v>261260</v>
      </c>
      <c r="D147" s="3" t="s">
        <v>345</v>
      </c>
      <c r="E147" s="3" t="s">
        <v>119</v>
      </c>
      <c r="F147" s="3" t="s">
        <v>119</v>
      </c>
      <c r="G147" s="3" t="s">
        <v>611</v>
      </c>
      <c r="H147" s="7" t="s">
        <v>2</v>
      </c>
      <c r="I147" s="7" t="s">
        <v>465</v>
      </c>
      <c r="J147" s="7" t="s">
        <v>653</v>
      </c>
      <c r="K147" s="9" t="s">
        <v>3</v>
      </c>
      <c r="L147" s="16" t="s">
        <v>455</v>
      </c>
      <c r="M147" s="18">
        <f>VLOOKUP(B147,[1]Planilha1!$A:$D,3,FALSE)</f>
        <v>-8809</v>
      </c>
      <c r="N147" s="18">
        <f>VLOOKUP(B147,[1]Planilha1!$A:$D,4,FALSE)</f>
        <v>-39814</v>
      </c>
    </row>
    <row r="148" spans="1:14" x14ac:dyDescent="0.3">
      <c r="A148" s="6">
        <v>26</v>
      </c>
      <c r="B148" s="4">
        <v>2612703</v>
      </c>
      <c r="C148" s="4">
        <v>261270</v>
      </c>
      <c r="D148" s="3" t="s">
        <v>346</v>
      </c>
      <c r="E148" s="3" t="s">
        <v>179</v>
      </c>
      <c r="F148" s="3" t="s">
        <v>429</v>
      </c>
      <c r="G148" s="3" t="s">
        <v>612</v>
      </c>
      <c r="H148" s="7" t="s">
        <v>4</v>
      </c>
      <c r="I148" s="7" t="s">
        <v>463</v>
      </c>
      <c r="J148" s="7" t="s">
        <v>651</v>
      </c>
      <c r="K148" s="9" t="s">
        <v>14</v>
      </c>
      <c r="L148" s="16" t="s">
        <v>14</v>
      </c>
      <c r="M148" s="18">
        <f>VLOOKUP(B148,[1]Planilha1!$A:$D,3,FALSE)</f>
        <v>-7940</v>
      </c>
      <c r="N148" s="18">
        <f>VLOOKUP(B148,[1]Planilha1!$A:$D,4,FALSE)</f>
        <v>-35749</v>
      </c>
    </row>
    <row r="149" spans="1:14" x14ac:dyDescent="0.3">
      <c r="A149" s="6">
        <v>26</v>
      </c>
      <c r="B149" s="4">
        <v>2612802</v>
      </c>
      <c r="C149" s="4">
        <v>261280</v>
      </c>
      <c r="D149" s="3" t="s">
        <v>347</v>
      </c>
      <c r="E149" s="3" t="s">
        <v>120</v>
      </c>
      <c r="F149" s="3" t="s">
        <v>120</v>
      </c>
      <c r="G149" s="3" t="s">
        <v>613</v>
      </c>
      <c r="H149" s="7" t="s">
        <v>1</v>
      </c>
      <c r="I149" s="7" t="s">
        <v>464</v>
      </c>
      <c r="J149" s="7" t="s">
        <v>652</v>
      </c>
      <c r="K149" s="9" t="s">
        <v>13</v>
      </c>
      <c r="L149" s="16" t="s">
        <v>454</v>
      </c>
      <c r="M149" s="18">
        <f>VLOOKUP(B149,[1]Planilha1!$A:$D,3,FALSE)</f>
        <v>-7340</v>
      </c>
      <c r="N149" s="18">
        <f>VLOOKUP(B149,[1]Planilha1!$A:$D,4,FALSE)</f>
        <v>-37586</v>
      </c>
    </row>
    <row r="150" spans="1:14" x14ac:dyDescent="0.3">
      <c r="A150" s="6">
        <v>26</v>
      </c>
      <c r="B150" s="4">
        <v>2612901</v>
      </c>
      <c r="C150" s="4">
        <v>261290</v>
      </c>
      <c r="D150" s="3" t="s">
        <v>348</v>
      </c>
      <c r="E150" s="3" t="s">
        <v>180</v>
      </c>
      <c r="F150" s="3" t="s">
        <v>430</v>
      </c>
      <c r="G150" s="3" t="s">
        <v>614</v>
      </c>
      <c r="H150" s="7" t="s">
        <v>0</v>
      </c>
      <c r="I150" s="7" t="s">
        <v>462</v>
      </c>
      <c r="J150" s="7" t="s">
        <v>650</v>
      </c>
      <c r="K150" s="9" t="s">
        <v>6</v>
      </c>
      <c r="L150" s="16" t="s">
        <v>6</v>
      </c>
      <c r="M150" s="18">
        <f>VLOOKUP(B150,[1]Planilha1!$A:$D,3,FALSE)</f>
        <v>-8847</v>
      </c>
      <c r="N150" s="18">
        <f>VLOOKUP(B150,[1]Planilha1!$A:$D,4,FALSE)</f>
        <v>-35621</v>
      </c>
    </row>
    <row r="151" spans="1:14" x14ac:dyDescent="0.3">
      <c r="A151" s="6">
        <v>26</v>
      </c>
      <c r="B151" s="4">
        <v>2613008</v>
      </c>
      <c r="C151" s="4">
        <v>261300</v>
      </c>
      <c r="D151" s="3" t="s">
        <v>349</v>
      </c>
      <c r="E151" s="3" t="s">
        <v>181</v>
      </c>
      <c r="F151" s="3" t="s">
        <v>431</v>
      </c>
      <c r="G151" s="3" t="s">
        <v>615</v>
      </c>
      <c r="H151" s="7" t="s">
        <v>4</v>
      </c>
      <c r="I151" s="7" t="s">
        <v>463</v>
      </c>
      <c r="J151" s="7" t="s">
        <v>651</v>
      </c>
      <c r="K151" s="9" t="s">
        <v>5</v>
      </c>
      <c r="L151" s="16" t="s">
        <v>5</v>
      </c>
      <c r="M151" s="18">
        <f>VLOOKUP(B151,[1]Planilha1!$A:$D,3,FALSE)</f>
        <v>-8530</v>
      </c>
      <c r="N151" s="18">
        <f>VLOOKUP(B151,[1]Planilha1!$A:$D,4,FALSE)</f>
        <v>-36449</v>
      </c>
    </row>
    <row r="152" spans="1:14" x14ac:dyDescent="0.3">
      <c r="A152" s="6">
        <v>26</v>
      </c>
      <c r="B152" s="4">
        <v>2613107</v>
      </c>
      <c r="C152" s="4">
        <v>261310</v>
      </c>
      <c r="D152" s="3" t="s">
        <v>350</v>
      </c>
      <c r="E152" s="3" t="s">
        <v>200</v>
      </c>
      <c r="F152" s="3" t="s">
        <v>432</v>
      </c>
      <c r="G152" s="3" t="s">
        <v>616</v>
      </c>
      <c r="H152" s="7" t="s">
        <v>4</v>
      </c>
      <c r="I152" s="7" t="s">
        <v>463</v>
      </c>
      <c r="J152" s="7" t="s">
        <v>651</v>
      </c>
      <c r="K152" s="9" t="s">
        <v>5</v>
      </c>
      <c r="L152" s="16" t="s">
        <v>5</v>
      </c>
      <c r="M152" s="18">
        <f>VLOOKUP(B152,[1]Planilha1!$A:$D,3,FALSE)</f>
        <v>-8324</v>
      </c>
      <c r="N152" s="18">
        <f>VLOOKUP(B152,[1]Planilha1!$A:$D,4,FALSE)</f>
        <v>-36326</v>
      </c>
    </row>
    <row r="153" spans="1:14" x14ac:dyDescent="0.3">
      <c r="A153" s="6">
        <v>26</v>
      </c>
      <c r="B153" s="4">
        <v>2613206</v>
      </c>
      <c r="C153" s="4">
        <v>261320</v>
      </c>
      <c r="D153" s="3" t="s">
        <v>351</v>
      </c>
      <c r="E153" s="3" t="s">
        <v>182</v>
      </c>
      <c r="F153" s="3" t="s">
        <v>433</v>
      </c>
      <c r="G153" s="3" t="s">
        <v>617</v>
      </c>
      <c r="H153" s="7" t="s">
        <v>4</v>
      </c>
      <c r="I153" s="7" t="s">
        <v>463</v>
      </c>
      <c r="J153" s="7" t="s">
        <v>651</v>
      </c>
      <c r="K153" s="9" t="s">
        <v>7</v>
      </c>
      <c r="L153" s="16" t="s">
        <v>7</v>
      </c>
      <c r="M153" s="18">
        <f>VLOOKUP(B153,[1]Planilha1!$A:$D,3,FALSE)</f>
        <v>-8822</v>
      </c>
      <c r="N153" s="18">
        <f>VLOOKUP(B153,[1]Planilha1!$A:$D,4,FALSE)</f>
        <v>-36315</v>
      </c>
    </row>
    <row r="154" spans="1:14" x14ac:dyDescent="0.3">
      <c r="A154" s="6">
        <v>26</v>
      </c>
      <c r="B154" s="4">
        <v>2613305</v>
      </c>
      <c r="C154" s="4">
        <v>261330</v>
      </c>
      <c r="D154" s="3" t="s">
        <v>352</v>
      </c>
      <c r="E154" s="3" t="s">
        <v>183</v>
      </c>
      <c r="F154" s="3" t="s">
        <v>434</v>
      </c>
      <c r="G154" s="3" t="s">
        <v>618</v>
      </c>
      <c r="H154" s="7" t="s">
        <v>4</v>
      </c>
      <c r="I154" s="7" t="s">
        <v>463</v>
      </c>
      <c r="J154" s="7" t="s">
        <v>651</v>
      </c>
      <c r="K154" s="9" t="s">
        <v>5</v>
      </c>
      <c r="L154" s="16" t="s">
        <v>5</v>
      </c>
      <c r="M154" s="18">
        <f>VLOOKUP(B154,[1]Planilha1!$A:$D,3,FALSE)</f>
        <v>-8349</v>
      </c>
      <c r="N154" s="18">
        <f>VLOOKUP(B154,[1]Planilha1!$A:$D,4,FALSE)</f>
        <v>-35850</v>
      </c>
    </row>
    <row r="155" spans="1:14" x14ac:dyDescent="0.3">
      <c r="A155" s="6">
        <v>26</v>
      </c>
      <c r="B155" s="4">
        <v>2613404</v>
      </c>
      <c r="C155" s="4">
        <v>261340</v>
      </c>
      <c r="D155" s="3" t="s">
        <v>353</v>
      </c>
      <c r="E155" s="3" t="s">
        <v>184</v>
      </c>
      <c r="F155" s="3" t="s">
        <v>435</v>
      </c>
      <c r="G155" s="3" t="s">
        <v>619</v>
      </c>
      <c r="H155" s="7" t="s">
        <v>0</v>
      </c>
      <c r="I155" s="7" t="s">
        <v>462</v>
      </c>
      <c r="J155" s="7" t="s">
        <v>650</v>
      </c>
      <c r="K155" s="9" t="s">
        <v>6</v>
      </c>
      <c r="L155" s="16" t="s">
        <v>6</v>
      </c>
      <c r="M155" s="18">
        <f>VLOOKUP(B155,[1]Planilha1!$A:$D,3,FALSE)</f>
        <v>-8895</v>
      </c>
      <c r="N155" s="18">
        <f>VLOOKUP(B155,[1]Planilha1!$A:$D,4,FALSE)</f>
        <v>-35176</v>
      </c>
    </row>
    <row r="156" spans="1:14" x14ac:dyDescent="0.3">
      <c r="A156" s="6">
        <v>26</v>
      </c>
      <c r="B156" s="4">
        <v>2613503</v>
      </c>
      <c r="C156" s="4">
        <v>261350</v>
      </c>
      <c r="D156" s="3" t="s">
        <v>354</v>
      </c>
      <c r="E156" s="3" t="s">
        <v>185</v>
      </c>
      <c r="F156" s="3" t="s">
        <v>436</v>
      </c>
      <c r="G156" s="3" t="s">
        <v>620</v>
      </c>
      <c r="H156" s="7" t="s">
        <v>1</v>
      </c>
      <c r="I156" s="7" t="s">
        <v>464</v>
      </c>
      <c r="J156" s="7" t="s">
        <v>652</v>
      </c>
      <c r="K156" s="9" t="s">
        <v>15</v>
      </c>
      <c r="L156" s="16" t="s">
        <v>458</v>
      </c>
      <c r="M156" s="18">
        <f>VLOOKUP(B156,[1]Planilha1!$A:$D,3,FALSE)</f>
        <v>-7502</v>
      </c>
      <c r="N156" s="18">
        <f>VLOOKUP(B156,[1]Planilha1!$A:$D,4,FALSE)</f>
        <v>-38763</v>
      </c>
    </row>
    <row r="157" spans="1:14" x14ac:dyDescent="0.3">
      <c r="A157" s="6">
        <v>26</v>
      </c>
      <c r="B157" s="4">
        <v>2613602</v>
      </c>
      <c r="C157" s="4">
        <v>261360</v>
      </c>
      <c r="D157" s="3" t="s">
        <v>355</v>
      </c>
      <c r="E157" s="3" t="s">
        <v>186</v>
      </c>
      <c r="F157" s="3" t="s">
        <v>437</v>
      </c>
      <c r="G157" s="3" t="s">
        <v>621</v>
      </c>
      <c r="H157" s="7" t="s">
        <v>1</v>
      </c>
      <c r="I157" s="7" t="s">
        <v>464</v>
      </c>
      <c r="J157" s="7" t="s">
        <v>652</v>
      </c>
      <c r="K157" s="9" t="s">
        <v>13</v>
      </c>
      <c r="L157" s="16" t="s">
        <v>454</v>
      </c>
      <c r="M157" s="18">
        <f>VLOOKUP(B157,[1]Planilha1!$A:$D,3,FALSE)</f>
        <v>-7632</v>
      </c>
      <c r="N157" s="18">
        <f>VLOOKUP(B157,[1]Planilha1!$A:$D,4,FALSE)</f>
        <v>-37268</v>
      </c>
    </row>
    <row r="158" spans="1:14" x14ac:dyDescent="0.3">
      <c r="A158" s="6">
        <v>26</v>
      </c>
      <c r="B158" s="4">
        <v>2613701</v>
      </c>
      <c r="C158" s="4">
        <v>261370</v>
      </c>
      <c r="D158" s="3" t="s">
        <v>356</v>
      </c>
      <c r="E158" s="3" t="s">
        <v>187</v>
      </c>
      <c r="F158" s="3" t="s">
        <v>438</v>
      </c>
      <c r="G158" s="3" t="s">
        <v>622</v>
      </c>
      <c r="H158" s="7" t="s">
        <v>0</v>
      </c>
      <c r="I158" s="7" t="s">
        <v>462</v>
      </c>
      <c r="J158" s="7" t="s">
        <v>650</v>
      </c>
      <c r="K158" s="9" t="s">
        <v>9</v>
      </c>
      <c r="L158" s="16" t="s">
        <v>9</v>
      </c>
      <c r="M158" s="18">
        <f>VLOOKUP(B158,[1]Planilha1!$A:$D,3,FALSE)</f>
        <v>-8006</v>
      </c>
      <c r="N158" s="18">
        <f>VLOOKUP(B158,[1]Planilha1!$A:$D,4,FALSE)</f>
        <v>-35034</v>
      </c>
    </row>
    <row r="159" spans="1:14" x14ac:dyDescent="0.3">
      <c r="A159" s="6">
        <v>26</v>
      </c>
      <c r="B159" s="4">
        <v>2613800</v>
      </c>
      <c r="C159" s="4">
        <v>261380</v>
      </c>
      <c r="D159" s="3" t="s">
        <v>357</v>
      </c>
      <c r="E159" s="3" t="s">
        <v>188</v>
      </c>
      <c r="F159" s="3" t="s">
        <v>439</v>
      </c>
      <c r="G159" s="3" t="s">
        <v>623</v>
      </c>
      <c r="H159" s="7" t="s">
        <v>0</v>
      </c>
      <c r="I159" s="7" t="s">
        <v>462</v>
      </c>
      <c r="J159" s="7" t="s">
        <v>650</v>
      </c>
      <c r="K159" s="9" t="s">
        <v>14</v>
      </c>
      <c r="L159" s="16" t="s">
        <v>14</v>
      </c>
      <c r="M159" s="18">
        <f>VLOOKUP(B159,[1]Planilha1!$A:$D,3,FALSE)</f>
        <v>-7712</v>
      </c>
      <c r="N159" s="18">
        <f>VLOOKUP(B159,[1]Planilha1!$A:$D,4,FALSE)</f>
        <v>-35378</v>
      </c>
    </row>
    <row r="160" spans="1:14" x14ac:dyDescent="0.3">
      <c r="A160" s="6">
        <v>26</v>
      </c>
      <c r="B160" s="4">
        <v>2613909</v>
      </c>
      <c r="C160" s="4">
        <v>261390</v>
      </c>
      <c r="D160" s="3" t="s">
        <v>358</v>
      </c>
      <c r="E160" s="3" t="s">
        <v>121</v>
      </c>
      <c r="F160" s="3" t="s">
        <v>121</v>
      </c>
      <c r="G160" s="3" t="s">
        <v>624</v>
      </c>
      <c r="H160" s="7" t="s">
        <v>1</v>
      </c>
      <c r="I160" s="7" t="s">
        <v>464</v>
      </c>
      <c r="J160" s="7" t="s">
        <v>652</v>
      </c>
      <c r="K160" s="9" t="s">
        <v>13</v>
      </c>
      <c r="L160" s="16" t="s">
        <v>454</v>
      </c>
      <c r="M160" s="18">
        <f>VLOOKUP(B160,[1]Planilha1!$A:$D,3,FALSE)</f>
        <v>-7990</v>
      </c>
      <c r="N160" s="18">
        <f>VLOOKUP(B160,[1]Planilha1!$A:$D,4,FALSE)</f>
        <v>-38297</v>
      </c>
    </row>
    <row r="161" spans="1:14" x14ac:dyDescent="0.3">
      <c r="A161" s="6">
        <v>26</v>
      </c>
      <c r="B161" s="4">
        <v>2614006</v>
      </c>
      <c r="C161" s="4">
        <v>261400</v>
      </c>
      <c r="D161" s="3" t="s">
        <v>359</v>
      </c>
      <c r="E161" s="3" t="s">
        <v>122</v>
      </c>
      <c r="F161" s="3" t="s">
        <v>122</v>
      </c>
      <c r="G161" s="3" t="s">
        <v>625</v>
      </c>
      <c r="H161" s="7" t="s">
        <v>2</v>
      </c>
      <c r="I161" s="7" t="s">
        <v>465</v>
      </c>
      <c r="J161" s="7" t="s">
        <v>653</v>
      </c>
      <c r="K161" s="9" t="s">
        <v>15</v>
      </c>
      <c r="L161" s="16" t="s">
        <v>458</v>
      </c>
      <c r="M161" s="18">
        <f>VLOOKUP(B161,[1]Planilha1!$A:$D,3,FALSE)</f>
        <v>-7965</v>
      </c>
      <c r="N161" s="18">
        <f>VLOOKUP(B161,[1]Planilha1!$A:$D,4,FALSE)</f>
        <v>-39293</v>
      </c>
    </row>
    <row r="162" spans="1:14" x14ac:dyDescent="0.3">
      <c r="A162" s="6">
        <v>26</v>
      </c>
      <c r="B162" s="4">
        <v>2614105</v>
      </c>
      <c r="C162" s="4">
        <v>261410</v>
      </c>
      <c r="D162" s="3" t="s">
        <v>360</v>
      </c>
      <c r="E162" s="3" t="s">
        <v>189</v>
      </c>
      <c r="F162" s="3" t="s">
        <v>440</v>
      </c>
      <c r="G162" s="3" t="s">
        <v>626</v>
      </c>
      <c r="H162" s="7" t="s">
        <v>1</v>
      </c>
      <c r="I162" s="7" t="s">
        <v>464</v>
      </c>
      <c r="J162" s="7" t="s">
        <v>652</v>
      </c>
      <c r="K162" s="9" t="s">
        <v>11</v>
      </c>
      <c r="L162" s="16" t="s">
        <v>459</v>
      </c>
      <c r="M162" s="18">
        <f>VLOOKUP(B162,[1]Planilha1!$A:$D,3,FALSE)</f>
        <v>-8067</v>
      </c>
      <c r="N162" s="18">
        <f>VLOOKUP(B162,[1]Planilha1!$A:$D,4,FALSE)</f>
        <v>-37268</v>
      </c>
    </row>
    <row r="163" spans="1:14" x14ac:dyDescent="0.3">
      <c r="A163" s="6">
        <v>26</v>
      </c>
      <c r="B163" s="4">
        <v>2614204</v>
      </c>
      <c r="C163" s="4">
        <v>261420</v>
      </c>
      <c r="D163" s="3" t="s">
        <v>361</v>
      </c>
      <c r="E163" s="3" t="s">
        <v>190</v>
      </c>
      <c r="F163" s="3" t="s">
        <v>441</v>
      </c>
      <c r="G163" s="3" t="s">
        <v>658</v>
      </c>
      <c r="H163" s="7" t="s">
        <v>0</v>
      </c>
      <c r="I163" s="7" t="s">
        <v>462</v>
      </c>
      <c r="J163" s="7" t="s">
        <v>650</v>
      </c>
      <c r="K163" s="9" t="s">
        <v>6</v>
      </c>
      <c r="L163" s="16" t="s">
        <v>6</v>
      </c>
      <c r="M163" s="18">
        <f>VLOOKUP(B163,[1]Planilha1!$A:$D,3,FALSE)</f>
        <v>-8586</v>
      </c>
      <c r="N163" s="18">
        <f>VLOOKUP(B163,[1]Planilha1!$A:$D,4,FALSE)</f>
        <v>-35132</v>
      </c>
    </row>
    <row r="164" spans="1:14" x14ac:dyDescent="0.3">
      <c r="A164" s="6">
        <v>26</v>
      </c>
      <c r="B164" s="4">
        <v>2614402</v>
      </c>
      <c r="C164" s="4">
        <v>261440</v>
      </c>
      <c r="D164" s="3" t="s">
        <v>362</v>
      </c>
      <c r="E164" s="3" t="s">
        <v>191</v>
      </c>
      <c r="F164" s="3" t="s">
        <v>442</v>
      </c>
      <c r="G164" s="3" t="s">
        <v>627</v>
      </c>
      <c r="H164" s="7" t="s">
        <v>1</v>
      </c>
      <c r="I164" s="7" t="s">
        <v>464</v>
      </c>
      <c r="J164" s="7" t="s">
        <v>652</v>
      </c>
      <c r="K164" s="9" t="s">
        <v>13</v>
      </c>
      <c r="L164" s="16" t="s">
        <v>454</v>
      </c>
      <c r="M164" s="18">
        <f>VLOOKUP(B164,[1]Planilha1!$A:$D,3,FALSE)</f>
        <v>-7502</v>
      </c>
      <c r="N164" s="18">
        <f>VLOOKUP(B164,[1]Planilha1!$A:$D,4,FALSE)</f>
        <v>-37691</v>
      </c>
    </row>
    <row r="165" spans="1:14" x14ac:dyDescent="0.3">
      <c r="A165" s="6">
        <v>26</v>
      </c>
      <c r="B165" s="4">
        <v>2614501</v>
      </c>
      <c r="C165" s="4">
        <v>261450</v>
      </c>
      <c r="D165" s="3" t="s">
        <v>363</v>
      </c>
      <c r="E165" s="3" t="s">
        <v>123</v>
      </c>
      <c r="F165" s="3" t="s">
        <v>123</v>
      </c>
      <c r="G165" s="3" t="s">
        <v>628</v>
      </c>
      <c r="H165" s="7" t="s">
        <v>0</v>
      </c>
      <c r="I165" s="7" t="s">
        <v>462</v>
      </c>
      <c r="J165" s="7" t="s">
        <v>650</v>
      </c>
      <c r="K165" s="9" t="s">
        <v>14</v>
      </c>
      <c r="L165" s="16" t="s">
        <v>14</v>
      </c>
      <c r="M165" s="18">
        <f>VLOOKUP(B165,[1]Planilha1!$A:$D,3,FALSE)</f>
        <v>-7820</v>
      </c>
      <c r="N165" s="18">
        <f>VLOOKUP(B165,[1]Planilha1!$A:$D,4,FALSE)</f>
        <v>-35750</v>
      </c>
    </row>
    <row r="166" spans="1:14" x14ac:dyDescent="0.3">
      <c r="A166" s="6">
        <v>26</v>
      </c>
      <c r="B166" s="4">
        <v>2614600</v>
      </c>
      <c r="C166" s="4">
        <v>261460</v>
      </c>
      <c r="D166" s="3" t="s">
        <v>364</v>
      </c>
      <c r="E166" s="3" t="s">
        <v>124</v>
      </c>
      <c r="F166" s="3" t="s">
        <v>124</v>
      </c>
      <c r="G166" s="3" t="s">
        <v>629</v>
      </c>
      <c r="H166" s="7" t="s">
        <v>1</v>
      </c>
      <c r="I166" s="7" t="s">
        <v>464</v>
      </c>
      <c r="J166" s="7" t="s">
        <v>652</v>
      </c>
      <c r="K166" s="9" t="s">
        <v>13</v>
      </c>
      <c r="L166" s="16" t="s">
        <v>454</v>
      </c>
      <c r="M166" s="18">
        <f>VLOOKUP(B166,[1]Planilha1!$A:$D,3,FALSE)</f>
        <v>-7585</v>
      </c>
      <c r="N166" s="18">
        <f>VLOOKUP(B166,[1]Planilha1!$A:$D,4,FALSE)</f>
        <v>-37558</v>
      </c>
    </row>
    <row r="167" spans="1:14" x14ac:dyDescent="0.3">
      <c r="A167" s="6">
        <v>26</v>
      </c>
      <c r="B167" s="4">
        <v>2614709</v>
      </c>
      <c r="C167" s="4">
        <v>261470</v>
      </c>
      <c r="D167" s="3" t="s">
        <v>365</v>
      </c>
      <c r="E167" s="3" t="s">
        <v>192</v>
      </c>
      <c r="F167" s="3" t="s">
        <v>443</v>
      </c>
      <c r="G167" s="3" t="s">
        <v>630</v>
      </c>
      <c r="H167" s="7" t="s">
        <v>4</v>
      </c>
      <c r="I167" s="7" t="s">
        <v>463</v>
      </c>
      <c r="J167" s="7" t="s">
        <v>651</v>
      </c>
      <c r="K167" s="9" t="s">
        <v>5</v>
      </c>
      <c r="L167" s="16" t="s">
        <v>5</v>
      </c>
      <c r="M167" s="18">
        <f>VLOOKUP(B167,[1]Planilha1!$A:$D,3,FALSE)</f>
        <v>-8127</v>
      </c>
      <c r="N167" s="18">
        <f>VLOOKUP(B167,[1]Planilha1!$A:$D,4,FALSE)</f>
        <v>-36148</v>
      </c>
    </row>
    <row r="168" spans="1:14" x14ac:dyDescent="0.3">
      <c r="A168" s="6">
        <v>26</v>
      </c>
      <c r="B168" s="4">
        <v>2614808</v>
      </c>
      <c r="C168" s="4">
        <v>261480</v>
      </c>
      <c r="D168" s="3" t="s">
        <v>366</v>
      </c>
      <c r="E168" s="3" t="s">
        <v>125</v>
      </c>
      <c r="F168" s="3" t="s">
        <v>125</v>
      </c>
      <c r="G168" s="3" t="s">
        <v>631</v>
      </c>
      <c r="H168" s="7" t="s">
        <v>1</v>
      </c>
      <c r="I168" s="7" t="s">
        <v>464</v>
      </c>
      <c r="J168" s="7" t="s">
        <v>652</v>
      </c>
      <c r="K168" s="9" t="s">
        <v>10</v>
      </c>
      <c r="L168" s="16" t="s">
        <v>457</v>
      </c>
      <c r="M168" s="18">
        <f>VLOOKUP(B168,[1]Planilha1!$A:$D,3,FALSE)</f>
        <v>-9006</v>
      </c>
      <c r="N168" s="18">
        <f>VLOOKUP(B168,[1]Planilha1!$A:$D,4,FALSE)</f>
        <v>-38077</v>
      </c>
    </row>
    <row r="169" spans="1:14" x14ac:dyDescent="0.3">
      <c r="A169" s="6">
        <v>26</v>
      </c>
      <c r="B169" s="4">
        <v>2614857</v>
      </c>
      <c r="C169" s="4">
        <v>261485</v>
      </c>
      <c r="D169" s="3" t="s">
        <v>367</v>
      </c>
      <c r="E169" s="3" t="s">
        <v>193</v>
      </c>
      <c r="F169" s="3" t="s">
        <v>444</v>
      </c>
      <c r="G169" s="3" t="s">
        <v>632</v>
      </c>
      <c r="H169" s="7" t="s">
        <v>0</v>
      </c>
      <c r="I169" s="7" t="s">
        <v>462</v>
      </c>
      <c r="J169" s="7" t="s">
        <v>650</v>
      </c>
      <c r="K169" s="9" t="s">
        <v>6</v>
      </c>
      <c r="L169" s="16" t="s">
        <v>6</v>
      </c>
      <c r="M169" s="18">
        <f>VLOOKUP(B169,[1]Planilha1!$A:$D,3,FALSE)</f>
        <v>-8766</v>
      </c>
      <c r="N169" s="18">
        <f>VLOOKUP(B169,[1]Planilha1!$A:$D,4,FALSE)</f>
        <v>-35176</v>
      </c>
    </row>
    <row r="170" spans="1:14" x14ac:dyDescent="0.3">
      <c r="A170" s="6">
        <v>26</v>
      </c>
      <c r="B170" s="4">
        <v>2615003</v>
      </c>
      <c r="C170" s="4">
        <v>261500</v>
      </c>
      <c r="D170" s="3" t="s">
        <v>368</v>
      </c>
      <c r="E170" s="3" t="s">
        <v>126</v>
      </c>
      <c r="F170" s="3" t="s">
        <v>126</v>
      </c>
      <c r="G170" s="3" t="s">
        <v>633</v>
      </c>
      <c r="H170" s="7" t="s">
        <v>4</v>
      </c>
      <c r="I170" s="7" t="s">
        <v>463</v>
      </c>
      <c r="J170" s="7" t="s">
        <v>651</v>
      </c>
      <c r="K170" s="9" t="s">
        <v>14</v>
      </c>
      <c r="L170" s="16" t="s">
        <v>14</v>
      </c>
      <c r="M170" s="18">
        <f>VLOOKUP(B170,[1]Planilha1!$A:$D,3,FALSE)</f>
        <v>-7904</v>
      </c>
      <c r="N170" s="18">
        <f>VLOOKUP(B170,[1]Planilha1!$A:$D,4,FALSE)</f>
        <v>-36054</v>
      </c>
    </row>
    <row r="171" spans="1:14" x14ac:dyDescent="0.3">
      <c r="A171" s="6">
        <v>26</v>
      </c>
      <c r="B171" s="4">
        <v>2615102</v>
      </c>
      <c r="C171" s="4">
        <v>261510</v>
      </c>
      <c r="D171" s="3" t="s">
        <v>369</v>
      </c>
      <c r="E171" s="3" t="s">
        <v>127</v>
      </c>
      <c r="F171" s="3" t="s">
        <v>127</v>
      </c>
      <c r="G171" s="3" t="s">
        <v>634</v>
      </c>
      <c r="H171" s="7" t="s">
        <v>4</v>
      </c>
      <c r="I171" s="7" t="s">
        <v>463</v>
      </c>
      <c r="J171" s="7" t="s">
        <v>651</v>
      </c>
      <c r="K171" s="9" t="s">
        <v>7</v>
      </c>
      <c r="L171" s="16" t="s">
        <v>7</v>
      </c>
      <c r="M171" s="18">
        <f>VLOOKUP(B171,[1]Planilha1!$A:$D,3,FALSE)</f>
        <v>-9072</v>
      </c>
      <c r="N171" s="18">
        <f>VLOOKUP(B171,[1]Planilha1!$A:$D,4,FALSE)</f>
        <v>-36758</v>
      </c>
    </row>
    <row r="172" spans="1:14" x14ac:dyDescent="0.3">
      <c r="A172" s="6">
        <v>26</v>
      </c>
      <c r="B172" s="4">
        <v>2615201</v>
      </c>
      <c r="C172" s="4">
        <v>261520</v>
      </c>
      <c r="D172" s="3" t="s">
        <v>370</v>
      </c>
      <c r="E172" s="3" t="s">
        <v>128</v>
      </c>
      <c r="F172" s="3" t="s">
        <v>128</v>
      </c>
      <c r="G172" s="3" t="s">
        <v>661</v>
      </c>
      <c r="H172" s="7" t="s">
        <v>2</v>
      </c>
      <c r="I172" s="7" t="s">
        <v>465</v>
      </c>
      <c r="J172" s="7" t="s">
        <v>653</v>
      </c>
      <c r="K172" s="9" t="s">
        <v>15</v>
      </c>
      <c r="L172" s="16" t="s">
        <v>458</v>
      </c>
      <c r="M172" s="18">
        <f>VLOOKUP(B172,[1]Planilha1!$A:$D,3,FALSE)</f>
        <v>-7990</v>
      </c>
      <c r="N172" s="18">
        <f>VLOOKUP(B172,[1]Planilha1!$A:$D,4,FALSE)</f>
        <v>-39385</v>
      </c>
    </row>
    <row r="173" spans="1:14" x14ac:dyDescent="0.3">
      <c r="A173" s="6">
        <v>26</v>
      </c>
      <c r="B173" s="4">
        <v>2615300</v>
      </c>
      <c r="C173" s="4">
        <v>261530</v>
      </c>
      <c r="D173" s="3" t="s">
        <v>371</v>
      </c>
      <c r="E173" s="3" t="s">
        <v>194</v>
      </c>
      <c r="F173" s="3" t="s">
        <v>445</v>
      </c>
      <c r="G173" s="3" t="s">
        <v>635</v>
      </c>
      <c r="H173" s="7" t="s">
        <v>0</v>
      </c>
      <c r="I173" s="7" t="s">
        <v>462</v>
      </c>
      <c r="J173" s="7" t="s">
        <v>650</v>
      </c>
      <c r="K173" s="9" t="s">
        <v>8</v>
      </c>
      <c r="L173" s="16" t="s">
        <v>8</v>
      </c>
      <c r="M173" s="18">
        <f>VLOOKUP(B173,[1]Planilha1!$A:$D,3,FALSE)</f>
        <v>-7437</v>
      </c>
      <c r="N173" s="18">
        <f>VLOOKUP(B173,[1]Planilha1!$A:$D,4,FALSE)</f>
        <v>-35293</v>
      </c>
    </row>
    <row r="174" spans="1:14" x14ac:dyDescent="0.3">
      <c r="A174" s="6">
        <v>26</v>
      </c>
      <c r="B174" s="4">
        <v>2615409</v>
      </c>
      <c r="C174" s="4">
        <v>261540</v>
      </c>
      <c r="D174" s="3" t="s">
        <v>372</v>
      </c>
      <c r="E174" s="3" t="s">
        <v>129</v>
      </c>
      <c r="F174" s="3" t="s">
        <v>129</v>
      </c>
      <c r="G174" s="3" t="s">
        <v>636</v>
      </c>
      <c r="H174" s="7" t="s">
        <v>4</v>
      </c>
      <c r="I174" s="7" t="s">
        <v>463</v>
      </c>
      <c r="J174" s="7" t="s">
        <v>651</v>
      </c>
      <c r="K174" s="9" t="s">
        <v>14</v>
      </c>
      <c r="L174" s="16" t="s">
        <v>14</v>
      </c>
      <c r="M174" s="18">
        <f>VLOOKUP(B174,[1]Planilha1!$A:$D,3,FALSE)</f>
        <v>-8007</v>
      </c>
      <c r="N174" s="18">
        <f>VLOOKUP(B174,[1]Planilha1!$A:$D,4,FALSE)</f>
        <v>-36054</v>
      </c>
    </row>
    <row r="175" spans="1:14" x14ac:dyDescent="0.3">
      <c r="A175" s="6">
        <v>26</v>
      </c>
      <c r="B175" s="4">
        <v>2615508</v>
      </c>
      <c r="C175" s="4">
        <v>261550</v>
      </c>
      <c r="D175" s="3" t="s">
        <v>373</v>
      </c>
      <c r="E175" s="3" t="s">
        <v>195</v>
      </c>
      <c r="F175" s="3" t="s">
        <v>446</v>
      </c>
      <c r="G175" s="3" t="s">
        <v>637</v>
      </c>
      <c r="H175" s="7" t="s">
        <v>0</v>
      </c>
      <c r="I175" s="7" t="s">
        <v>462</v>
      </c>
      <c r="J175" s="7" t="s">
        <v>650</v>
      </c>
      <c r="K175" s="9" t="s">
        <v>8</v>
      </c>
      <c r="L175" s="16" t="s">
        <v>8</v>
      </c>
      <c r="M175" s="18">
        <f>VLOOKUP(B175,[1]Planilha1!$A:$D,3,FALSE)</f>
        <v>-7777</v>
      </c>
      <c r="N175" s="18">
        <f>VLOOKUP(B175,[1]Planilha1!$A:$D,4,FALSE)</f>
        <v>-35127</v>
      </c>
    </row>
    <row r="176" spans="1:14" x14ac:dyDescent="0.3">
      <c r="A176" s="6">
        <v>26</v>
      </c>
      <c r="B176" s="4">
        <v>2615607</v>
      </c>
      <c r="C176" s="4">
        <v>261560</v>
      </c>
      <c r="D176" s="3" t="s">
        <v>374</v>
      </c>
      <c r="E176" s="3" t="s">
        <v>130</v>
      </c>
      <c r="F176" s="3" t="s">
        <v>130</v>
      </c>
      <c r="G176" s="3" t="s">
        <v>638</v>
      </c>
      <c r="H176" s="7" t="s">
        <v>2</v>
      </c>
      <c r="I176" s="7" t="s">
        <v>465</v>
      </c>
      <c r="J176" s="7" t="s">
        <v>653</v>
      </c>
      <c r="K176" s="9" t="s">
        <v>12</v>
      </c>
      <c r="L176" s="16" t="s">
        <v>456</v>
      </c>
      <c r="M176" s="18">
        <f>VLOOKUP(B176,[1]Planilha1!$A:$D,3,FALSE)</f>
        <v>-7808</v>
      </c>
      <c r="N176" s="18">
        <f>VLOOKUP(B176,[1]Planilha1!$A:$D,4,FALSE)</f>
        <v>-40264</v>
      </c>
    </row>
    <row r="177" spans="1:14" x14ac:dyDescent="0.3">
      <c r="A177" s="6">
        <v>26</v>
      </c>
      <c r="B177" s="4">
        <v>2615706</v>
      </c>
      <c r="C177" s="4">
        <v>261570</v>
      </c>
      <c r="D177" s="3" t="s">
        <v>375</v>
      </c>
      <c r="E177" s="3" t="s">
        <v>131</v>
      </c>
      <c r="F177" s="3" t="s">
        <v>131</v>
      </c>
      <c r="G177" s="3" t="s">
        <v>639</v>
      </c>
      <c r="H177" s="7" t="s">
        <v>1</v>
      </c>
      <c r="I177" s="7" t="s">
        <v>464</v>
      </c>
      <c r="J177" s="7" t="s">
        <v>652</v>
      </c>
      <c r="K177" s="9" t="s">
        <v>13</v>
      </c>
      <c r="L177" s="16" t="s">
        <v>454</v>
      </c>
      <c r="M177" s="18">
        <f>VLOOKUP(B177,[1]Planilha1!$A:$D,3,FALSE)</f>
        <v>-7808</v>
      </c>
      <c r="N177" s="18">
        <f>VLOOKUP(B177,[1]Planilha1!$A:$D,4,FALSE)</f>
        <v>-37766</v>
      </c>
    </row>
    <row r="178" spans="1:14" x14ac:dyDescent="0.3">
      <c r="A178" s="6">
        <v>26</v>
      </c>
      <c r="B178" s="4">
        <v>2615805</v>
      </c>
      <c r="C178" s="4">
        <v>261580</v>
      </c>
      <c r="D178" s="3" t="s">
        <v>376</v>
      </c>
      <c r="E178" s="3" t="s">
        <v>132</v>
      </c>
      <c r="F178" s="3" t="s">
        <v>132</v>
      </c>
      <c r="G178" s="3" t="s">
        <v>640</v>
      </c>
      <c r="H178" s="7" t="s">
        <v>1</v>
      </c>
      <c r="I178" s="7" t="s">
        <v>464</v>
      </c>
      <c r="J178" s="7" t="s">
        <v>652</v>
      </c>
      <c r="K178" s="9" t="s">
        <v>7</v>
      </c>
      <c r="L178" s="16" t="s">
        <v>7</v>
      </c>
      <c r="M178" s="18">
        <f>VLOOKUP(B178,[1]Planilha1!$A:$D,3,FALSE)</f>
        <v>-8784</v>
      </c>
      <c r="N178" s="18">
        <f>VLOOKUP(B178,[1]Planilha1!$A:$D,4,FALSE)</f>
        <v>-37382</v>
      </c>
    </row>
    <row r="179" spans="1:14" x14ac:dyDescent="0.3">
      <c r="A179" s="6">
        <v>26</v>
      </c>
      <c r="B179" s="4">
        <v>2615904</v>
      </c>
      <c r="C179" s="4">
        <v>261590</v>
      </c>
      <c r="D179" s="3" t="s">
        <v>377</v>
      </c>
      <c r="E179" s="3" t="s">
        <v>133</v>
      </c>
      <c r="F179" s="3" t="s">
        <v>133</v>
      </c>
      <c r="G179" s="3" t="s">
        <v>641</v>
      </c>
      <c r="H179" s="7" t="s">
        <v>1</v>
      </c>
      <c r="I179" s="7" t="s">
        <v>464</v>
      </c>
      <c r="J179" s="7" t="s">
        <v>652</v>
      </c>
      <c r="K179" s="9" t="s">
        <v>13</v>
      </c>
      <c r="L179" s="16" t="s">
        <v>454</v>
      </c>
      <c r="M179" s="18">
        <f>VLOOKUP(B179,[1]Planilha1!$A:$D,3,FALSE)</f>
        <v>-7694</v>
      </c>
      <c r="N179" s="18">
        <f>VLOOKUP(B179,[1]Planilha1!$A:$D,4,FALSE)</f>
        <v>-37494</v>
      </c>
    </row>
    <row r="180" spans="1:14" x14ac:dyDescent="0.3">
      <c r="A180" s="6">
        <v>26</v>
      </c>
      <c r="B180" s="4">
        <v>2616001</v>
      </c>
      <c r="C180" s="4">
        <v>261600</v>
      </c>
      <c r="D180" s="3" t="s">
        <v>378</v>
      </c>
      <c r="E180" s="3" t="s">
        <v>134</v>
      </c>
      <c r="F180" s="3" t="s">
        <v>134</v>
      </c>
      <c r="G180" s="3" t="s">
        <v>642</v>
      </c>
      <c r="H180" s="7" t="s">
        <v>1</v>
      </c>
      <c r="I180" s="7" t="s">
        <v>464</v>
      </c>
      <c r="J180" s="7" t="s">
        <v>652</v>
      </c>
      <c r="K180" s="9" t="s">
        <v>7</v>
      </c>
      <c r="L180" s="16" t="s">
        <v>7</v>
      </c>
      <c r="M180" s="18">
        <f>VLOOKUP(B180,[1]Planilha1!$A:$D,3,FALSE)</f>
        <v>-8558</v>
      </c>
      <c r="N180" s="18">
        <f>VLOOKUP(B180,[1]Planilha1!$A:$D,4,FALSE)</f>
        <v>-36758</v>
      </c>
    </row>
    <row r="181" spans="1:14" x14ac:dyDescent="0.3">
      <c r="A181" s="6">
        <v>26</v>
      </c>
      <c r="B181" s="4">
        <v>2616100</v>
      </c>
      <c r="C181" s="4">
        <v>261610</v>
      </c>
      <c r="D181" s="3" t="s">
        <v>379</v>
      </c>
      <c r="E181" s="3" t="s">
        <v>135</v>
      </c>
      <c r="F181" s="3" t="s">
        <v>135</v>
      </c>
      <c r="G181" s="3" t="s">
        <v>643</v>
      </c>
      <c r="H181" s="7" t="s">
        <v>2</v>
      </c>
      <c r="I181" s="7" t="s">
        <v>465</v>
      </c>
      <c r="J181" s="7" t="s">
        <v>653</v>
      </c>
      <c r="K181" s="9" t="s">
        <v>15</v>
      </c>
      <c r="L181" s="16" t="s">
        <v>458</v>
      </c>
      <c r="M181" s="18">
        <f>VLOOKUP(B181,[1]Planilha1!$A:$D,3,FALSE)</f>
        <v>-8081</v>
      </c>
      <c r="N181" s="18">
        <f>VLOOKUP(B181,[1]Planilha1!$A:$D,4,FALSE)</f>
        <v>-39202</v>
      </c>
    </row>
    <row r="182" spans="1:14" x14ac:dyDescent="0.3">
      <c r="A182" s="6">
        <v>26</v>
      </c>
      <c r="B182" s="4">
        <v>2616183</v>
      </c>
      <c r="C182" s="4">
        <v>261618</v>
      </c>
      <c r="D182" s="3" t="s">
        <v>380</v>
      </c>
      <c r="E182" s="3" t="s">
        <v>196</v>
      </c>
      <c r="F182" s="3" t="s">
        <v>447</v>
      </c>
      <c r="G182" s="3" t="s">
        <v>644</v>
      </c>
      <c r="H182" s="7" t="s">
        <v>0</v>
      </c>
      <c r="I182" s="7" t="s">
        <v>462</v>
      </c>
      <c r="J182" s="7" t="s">
        <v>650</v>
      </c>
      <c r="K182" s="9" t="s">
        <v>14</v>
      </c>
      <c r="L182" s="16" t="s">
        <v>14</v>
      </c>
      <c r="M182" s="18">
        <f>VLOOKUP(B182,[1]Planilha1!$A:$D,3,FALSE)</f>
        <v>-7990</v>
      </c>
      <c r="N182" s="18">
        <f>VLOOKUP(B182,[1]Planilha1!$A:$D,4,FALSE)</f>
        <v>-35795</v>
      </c>
    </row>
    <row r="183" spans="1:14" x14ac:dyDescent="0.3">
      <c r="A183" s="6">
        <v>26</v>
      </c>
      <c r="B183" s="4">
        <v>2616209</v>
      </c>
      <c r="C183" s="4">
        <v>261620</v>
      </c>
      <c r="D183" s="3" t="s">
        <v>381</v>
      </c>
      <c r="E183" s="3" t="s">
        <v>136</v>
      </c>
      <c r="F183" s="3" t="s">
        <v>136</v>
      </c>
      <c r="G183" s="3" t="s">
        <v>645</v>
      </c>
      <c r="H183" s="7" t="s">
        <v>4</v>
      </c>
      <c r="I183" s="7" t="s">
        <v>463</v>
      </c>
      <c r="J183" s="7" t="s">
        <v>651</v>
      </c>
      <c r="K183" s="9" t="s">
        <v>14</v>
      </c>
      <c r="L183" s="16" t="s">
        <v>14</v>
      </c>
      <c r="M183" s="18">
        <f>VLOOKUP(B183,[1]Planilha1!$A:$D,3,FALSE)</f>
        <v>-7904</v>
      </c>
      <c r="N183" s="18">
        <f>VLOOKUP(B183,[1]Planilha1!$A:$D,4,FALSE)</f>
        <v>-36054</v>
      </c>
    </row>
    <row r="184" spans="1:14" x14ac:dyDescent="0.3">
      <c r="A184" s="6">
        <v>26</v>
      </c>
      <c r="B184" s="4">
        <v>2616308</v>
      </c>
      <c r="C184" s="4">
        <v>261630</v>
      </c>
      <c r="D184" s="3" t="s">
        <v>382</v>
      </c>
      <c r="E184" s="3" t="s">
        <v>197</v>
      </c>
      <c r="F184" s="3" t="s">
        <v>448</v>
      </c>
      <c r="G184" s="3" t="s">
        <v>646</v>
      </c>
      <c r="H184" s="7" t="s">
        <v>0</v>
      </c>
      <c r="I184" s="7" t="s">
        <v>462</v>
      </c>
      <c r="J184" s="7" t="s">
        <v>650</v>
      </c>
      <c r="K184" s="9" t="s">
        <v>8</v>
      </c>
      <c r="L184" s="16" t="s">
        <v>8</v>
      </c>
      <c r="M184" s="18">
        <f>VLOOKUP(B184,[1]Planilha1!$A:$D,3,FALSE)</f>
        <v>-7707</v>
      </c>
      <c r="N184" s="18">
        <f>VLOOKUP(B184,[1]Planilha1!$A:$D,4,FALSE)</f>
        <v>-35176</v>
      </c>
    </row>
    <row r="185" spans="1:14" x14ac:dyDescent="0.3">
      <c r="A185" s="6">
        <v>26</v>
      </c>
      <c r="B185" s="4">
        <v>2616407</v>
      </c>
      <c r="C185" s="4">
        <v>261640</v>
      </c>
      <c r="D185" s="3" t="s">
        <v>383</v>
      </c>
      <c r="E185" s="3" t="s">
        <v>198</v>
      </c>
      <c r="F185" s="3" t="s">
        <v>449</v>
      </c>
      <c r="G185" s="3" t="s">
        <v>647</v>
      </c>
      <c r="H185" s="7" t="s">
        <v>0</v>
      </c>
      <c r="I185" s="7" t="s">
        <v>462</v>
      </c>
      <c r="J185" s="7" t="s">
        <v>650</v>
      </c>
      <c r="K185" s="9" t="s">
        <v>6</v>
      </c>
      <c r="L185" s="16" t="s">
        <v>6</v>
      </c>
      <c r="M185" s="18">
        <f>VLOOKUP(B185,[1]Planilha1!$A:$D,3,FALSE)</f>
        <v>-8120</v>
      </c>
      <c r="N185" s="18">
        <f>VLOOKUP(B185,[1]Planilha1!$A:$D,4,FALSE)</f>
        <v>-35290</v>
      </c>
    </row>
    <row r="186" spans="1:14" x14ac:dyDescent="0.3">
      <c r="A186" s="6">
        <v>26</v>
      </c>
      <c r="B186" s="4">
        <v>2616506</v>
      </c>
      <c r="C186" s="4">
        <v>261650</v>
      </c>
      <c r="D186" s="3" t="s">
        <v>384</v>
      </c>
      <c r="E186" s="3" t="s">
        <v>199</v>
      </c>
      <c r="F186" s="3" t="s">
        <v>450</v>
      </c>
      <c r="G186" s="3" t="s">
        <v>648</v>
      </c>
      <c r="H186" s="7" t="s">
        <v>0</v>
      </c>
      <c r="I186" s="7" t="s">
        <v>462</v>
      </c>
      <c r="J186" s="7" t="s">
        <v>650</v>
      </c>
      <c r="K186" s="9" t="s">
        <v>6</v>
      </c>
      <c r="L186" s="16" t="s">
        <v>6</v>
      </c>
      <c r="M186" s="18">
        <f>VLOOKUP(B186,[1]Planilha1!$A:$D,3,FALSE)</f>
        <v>-8784</v>
      </c>
      <c r="N186" s="18">
        <f>VLOOKUP(B186,[1]Planilha1!$A:$D,4,FALSE)</f>
        <v>-35460</v>
      </c>
    </row>
  </sheetData>
  <autoFilter ref="A1:L186" xr:uid="{00000000-0001-0000-0000-000000000000}"/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newton.cerezini</dc:creator>
  <cp:lastModifiedBy>Instituto de Gestão</cp:lastModifiedBy>
  <dcterms:created xsi:type="dcterms:W3CDTF">2022-06-10T00:02:39Z</dcterms:created>
  <dcterms:modified xsi:type="dcterms:W3CDTF">2026-03-27T13:33:44Z</dcterms:modified>
</cp:coreProperties>
</file>